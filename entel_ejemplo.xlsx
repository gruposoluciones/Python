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inculaciones\"/>
    </mc:Choice>
  </mc:AlternateContent>
  <xr:revisionPtr revIDLastSave="0" documentId="13_ncr:1_{0C89935A-28FE-4CF9-B33B-7DC4DA568E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Hoja1!$A$1:$P$100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0" i="1" l="1"/>
  <c r="K100" i="1"/>
  <c r="J100" i="1"/>
  <c r="G100" i="1"/>
  <c r="F100" i="1"/>
  <c r="E100" i="1"/>
  <c r="C100" i="1"/>
  <c r="L99" i="1"/>
  <c r="K99" i="1"/>
  <c r="J99" i="1"/>
  <c r="G99" i="1"/>
  <c r="F99" i="1"/>
  <c r="E99" i="1"/>
  <c r="C99" i="1"/>
  <c r="L98" i="1"/>
  <c r="K98" i="1"/>
  <c r="J98" i="1"/>
  <c r="G98" i="1"/>
  <c r="F98" i="1"/>
  <c r="E98" i="1"/>
  <c r="C98" i="1"/>
  <c r="L97" i="1"/>
  <c r="K97" i="1"/>
  <c r="J97" i="1"/>
  <c r="G97" i="1"/>
  <c r="F97" i="1"/>
  <c r="E97" i="1"/>
  <c r="C97" i="1"/>
  <c r="L96" i="1"/>
  <c r="K96" i="1"/>
  <c r="J96" i="1"/>
  <c r="G96" i="1"/>
  <c r="F96" i="1"/>
  <c r="E96" i="1"/>
  <c r="C96" i="1"/>
  <c r="L95" i="1"/>
  <c r="K95" i="1"/>
  <c r="J95" i="1"/>
  <c r="M95" i="1" s="1"/>
  <c r="G95" i="1"/>
  <c r="F95" i="1"/>
  <c r="E95" i="1"/>
  <c r="C95" i="1"/>
  <c r="L94" i="1"/>
  <c r="K94" i="1"/>
  <c r="J94" i="1"/>
  <c r="G94" i="1"/>
  <c r="F94" i="1"/>
  <c r="E94" i="1"/>
  <c r="C94" i="1"/>
  <c r="L93" i="1"/>
  <c r="K93" i="1"/>
  <c r="J93" i="1"/>
  <c r="G93" i="1"/>
  <c r="F93" i="1"/>
  <c r="E93" i="1"/>
  <c r="C93" i="1"/>
  <c r="L92" i="1"/>
  <c r="K92" i="1"/>
  <c r="J92" i="1"/>
  <c r="G92" i="1"/>
  <c r="F92" i="1"/>
  <c r="E92" i="1"/>
  <c r="C92" i="1"/>
  <c r="L91" i="1"/>
  <c r="K91" i="1"/>
  <c r="J91" i="1"/>
  <c r="G91" i="1"/>
  <c r="F91" i="1"/>
  <c r="E91" i="1"/>
  <c r="C91" i="1"/>
  <c r="L90" i="1"/>
  <c r="K90" i="1"/>
  <c r="J90" i="1"/>
  <c r="G90" i="1"/>
  <c r="F90" i="1"/>
  <c r="E90" i="1"/>
  <c r="C90" i="1"/>
  <c r="L89" i="1"/>
  <c r="K89" i="1"/>
  <c r="J89" i="1"/>
  <c r="G89" i="1"/>
  <c r="F89" i="1"/>
  <c r="E89" i="1"/>
  <c r="C89" i="1"/>
  <c r="L88" i="1"/>
  <c r="K88" i="1"/>
  <c r="J88" i="1"/>
  <c r="G88" i="1"/>
  <c r="F88" i="1"/>
  <c r="E88" i="1"/>
  <c r="C88" i="1"/>
  <c r="L87" i="1"/>
  <c r="K87" i="1"/>
  <c r="J87" i="1"/>
  <c r="G87" i="1"/>
  <c r="F87" i="1"/>
  <c r="E87" i="1"/>
  <c r="C87" i="1"/>
  <c r="L86" i="1"/>
  <c r="K86" i="1"/>
  <c r="J86" i="1"/>
  <c r="G86" i="1"/>
  <c r="F86" i="1"/>
  <c r="E86" i="1"/>
  <c r="C86" i="1"/>
  <c r="L85" i="1"/>
  <c r="K85" i="1"/>
  <c r="J85" i="1"/>
  <c r="G85" i="1"/>
  <c r="F85" i="1"/>
  <c r="E85" i="1"/>
  <c r="C85" i="1"/>
  <c r="L84" i="1"/>
  <c r="K84" i="1"/>
  <c r="J84" i="1"/>
  <c r="M84" i="1" s="1"/>
  <c r="G84" i="1"/>
  <c r="F84" i="1"/>
  <c r="E84" i="1"/>
  <c r="C84" i="1"/>
  <c r="L83" i="1"/>
  <c r="K83" i="1"/>
  <c r="J83" i="1"/>
  <c r="G83" i="1"/>
  <c r="F83" i="1"/>
  <c r="E83" i="1"/>
  <c r="C83" i="1"/>
  <c r="L82" i="1"/>
  <c r="K82" i="1"/>
  <c r="J82" i="1"/>
  <c r="G82" i="1"/>
  <c r="F82" i="1"/>
  <c r="E82" i="1"/>
  <c r="C82" i="1"/>
  <c r="L81" i="1"/>
  <c r="K81" i="1"/>
  <c r="J81" i="1"/>
  <c r="G81" i="1"/>
  <c r="F81" i="1"/>
  <c r="E81" i="1"/>
  <c r="C81" i="1"/>
  <c r="L80" i="1"/>
  <c r="K80" i="1"/>
  <c r="J80" i="1"/>
  <c r="G80" i="1"/>
  <c r="F80" i="1"/>
  <c r="E80" i="1"/>
  <c r="C80" i="1"/>
  <c r="L79" i="1"/>
  <c r="K79" i="1"/>
  <c r="J79" i="1"/>
  <c r="G79" i="1"/>
  <c r="F79" i="1"/>
  <c r="E79" i="1"/>
  <c r="C79" i="1"/>
  <c r="L78" i="1"/>
  <c r="K78" i="1"/>
  <c r="J78" i="1"/>
  <c r="G78" i="1"/>
  <c r="F78" i="1"/>
  <c r="E78" i="1"/>
  <c r="C78" i="1"/>
  <c r="L77" i="1"/>
  <c r="K77" i="1"/>
  <c r="J77" i="1"/>
  <c r="G77" i="1"/>
  <c r="F77" i="1"/>
  <c r="E77" i="1"/>
  <c r="C77" i="1"/>
  <c r="L76" i="1"/>
  <c r="K76" i="1"/>
  <c r="J76" i="1"/>
  <c r="G76" i="1"/>
  <c r="F76" i="1"/>
  <c r="E76" i="1"/>
  <c r="C76" i="1"/>
  <c r="L75" i="1"/>
  <c r="K75" i="1"/>
  <c r="J75" i="1"/>
  <c r="G75" i="1"/>
  <c r="F75" i="1"/>
  <c r="E75" i="1"/>
  <c r="C75" i="1"/>
  <c r="L74" i="1"/>
  <c r="K74" i="1"/>
  <c r="J74" i="1"/>
  <c r="G74" i="1"/>
  <c r="F74" i="1"/>
  <c r="E74" i="1"/>
  <c r="C74" i="1"/>
  <c r="L73" i="1"/>
  <c r="K73" i="1"/>
  <c r="J73" i="1"/>
  <c r="M73" i="1" s="1"/>
  <c r="G73" i="1"/>
  <c r="F73" i="1"/>
  <c r="E73" i="1"/>
  <c r="C73" i="1"/>
  <c r="L72" i="1"/>
  <c r="K72" i="1"/>
  <c r="J72" i="1"/>
  <c r="G72" i="1"/>
  <c r="F72" i="1"/>
  <c r="E72" i="1"/>
  <c r="C72" i="1"/>
  <c r="L71" i="1"/>
  <c r="K71" i="1"/>
  <c r="J71" i="1"/>
  <c r="G71" i="1"/>
  <c r="F71" i="1"/>
  <c r="E71" i="1"/>
  <c r="C71" i="1"/>
  <c r="L70" i="1"/>
  <c r="K70" i="1"/>
  <c r="J70" i="1"/>
  <c r="G70" i="1"/>
  <c r="F70" i="1"/>
  <c r="E70" i="1"/>
  <c r="C70" i="1"/>
  <c r="L69" i="1"/>
  <c r="K69" i="1"/>
  <c r="J69" i="1"/>
  <c r="G69" i="1"/>
  <c r="F69" i="1"/>
  <c r="E69" i="1"/>
  <c r="C69" i="1"/>
  <c r="L68" i="1"/>
  <c r="K68" i="1"/>
  <c r="J68" i="1"/>
  <c r="G68" i="1"/>
  <c r="F68" i="1"/>
  <c r="E68" i="1"/>
  <c r="C68" i="1"/>
  <c r="L67" i="1"/>
  <c r="K67" i="1"/>
  <c r="J67" i="1"/>
  <c r="G67" i="1"/>
  <c r="F67" i="1"/>
  <c r="E67" i="1"/>
  <c r="C67" i="1"/>
  <c r="L66" i="1"/>
  <c r="K66" i="1"/>
  <c r="J66" i="1"/>
  <c r="G66" i="1"/>
  <c r="F66" i="1"/>
  <c r="E66" i="1"/>
  <c r="C66" i="1"/>
  <c r="L65" i="1"/>
  <c r="K65" i="1"/>
  <c r="J65" i="1"/>
  <c r="G65" i="1"/>
  <c r="F65" i="1"/>
  <c r="E65" i="1"/>
  <c r="C65" i="1"/>
  <c r="L64" i="1"/>
  <c r="K64" i="1"/>
  <c r="J64" i="1"/>
  <c r="G64" i="1"/>
  <c r="F64" i="1"/>
  <c r="E64" i="1"/>
  <c r="C64" i="1"/>
  <c r="L63" i="1"/>
  <c r="K63" i="1"/>
  <c r="J63" i="1"/>
  <c r="G63" i="1"/>
  <c r="F63" i="1"/>
  <c r="E63" i="1"/>
  <c r="C63" i="1"/>
  <c r="L62" i="1"/>
  <c r="K62" i="1"/>
  <c r="J62" i="1"/>
  <c r="M62" i="1" s="1"/>
  <c r="G62" i="1"/>
  <c r="F62" i="1"/>
  <c r="E62" i="1"/>
  <c r="C62" i="1"/>
  <c r="L61" i="1"/>
  <c r="K61" i="1"/>
  <c r="J61" i="1"/>
  <c r="M61" i="1" s="1"/>
  <c r="G61" i="1"/>
  <c r="F61" i="1"/>
  <c r="E61" i="1"/>
  <c r="C61" i="1"/>
  <c r="L60" i="1"/>
  <c r="K60" i="1"/>
  <c r="J60" i="1"/>
  <c r="G60" i="1"/>
  <c r="F60" i="1"/>
  <c r="E60" i="1"/>
  <c r="C60" i="1"/>
  <c r="L59" i="1"/>
  <c r="K59" i="1"/>
  <c r="J59" i="1"/>
  <c r="G59" i="1"/>
  <c r="F59" i="1"/>
  <c r="E59" i="1"/>
  <c r="C59" i="1"/>
  <c r="L58" i="1"/>
  <c r="K58" i="1"/>
  <c r="J58" i="1"/>
  <c r="G58" i="1"/>
  <c r="F58" i="1"/>
  <c r="E58" i="1"/>
  <c r="C58" i="1"/>
  <c r="L57" i="1"/>
  <c r="K57" i="1"/>
  <c r="J57" i="1"/>
  <c r="M57" i="1" s="1"/>
  <c r="G57" i="1"/>
  <c r="F57" i="1"/>
  <c r="E57" i="1"/>
  <c r="C57" i="1"/>
  <c r="L56" i="1"/>
  <c r="K56" i="1"/>
  <c r="J56" i="1"/>
  <c r="G56" i="1"/>
  <c r="F56" i="1"/>
  <c r="E56" i="1"/>
  <c r="C56" i="1"/>
  <c r="L55" i="1"/>
  <c r="K55" i="1"/>
  <c r="J55" i="1"/>
  <c r="G55" i="1"/>
  <c r="F55" i="1"/>
  <c r="E55" i="1"/>
  <c r="C55" i="1"/>
  <c r="L54" i="1"/>
  <c r="K54" i="1"/>
  <c r="J54" i="1"/>
  <c r="M54" i="1" s="1"/>
  <c r="G54" i="1"/>
  <c r="F54" i="1"/>
  <c r="E54" i="1"/>
  <c r="C54" i="1"/>
  <c r="L53" i="1"/>
  <c r="K53" i="1"/>
  <c r="J53" i="1"/>
  <c r="G53" i="1"/>
  <c r="F53" i="1"/>
  <c r="E53" i="1"/>
  <c r="C53" i="1"/>
  <c r="L52" i="1"/>
  <c r="K52" i="1"/>
  <c r="J52" i="1"/>
  <c r="G52" i="1"/>
  <c r="F52" i="1"/>
  <c r="E52" i="1"/>
  <c r="C52" i="1"/>
  <c r="L51" i="1"/>
  <c r="K51" i="1"/>
  <c r="J51" i="1"/>
  <c r="M51" i="1" s="1"/>
  <c r="G51" i="1"/>
  <c r="F51" i="1"/>
  <c r="E51" i="1"/>
  <c r="C51" i="1"/>
  <c r="L50" i="1"/>
  <c r="K50" i="1"/>
  <c r="J50" i="1"/>
  <c r="G50" i="1"/>
  <c r="F50" i="1"/>
  <c r="E50" i="1"/>
  <c r="C50" i="1"/>
  <c r="L49" i="1"/>
  <c r="K49" i="1"/>
  <c r="J49" i="1"/>
  <c r="G49" i="1"/>
  <c r="F49" i="1"/>
  <c r="E49" i="1"/>
  <c r="C49" i="1"/>
  <c r="L48" i="1"/>
  <c r="K48" i="1"/>
  <c r="J48" i="1"/>
  <c r="G48" i="1"/>
  <c r="F48" i="1"/>
  <c r="E48" i="1"/>
  <c r="C48" i="1"/>
  <c r="L47" i="1"/>
  <c r="K47" i="1"/>
  <c r="J47" i="1"/>
  <c r="G47" i="1"/>
  <c r="F47" i="1"/>
  <c r="E47" i="1"/>
  <c r="C47" i="1"/>
  <c r="L46" i="1"/>
  <c r="K46" i="1"/>
  <c r="J46" i="1"/>
  <c r="G46" i="1"/>
  <c r="F46" i="1"/>
  <c r="E46" i="1"/>
  <c r="C46" i="1"/>
  <c r="L45" i="1"/>
  <c r="K45" i="1"/>
  <c r="J45" i="1"/>
  <c r="G45" i="1"/>
  <c r="F45" i="1"/>
  <c r="E45" i="1"/>
  <c r="C45" i="1"/>
  <c r="L44" i="1"/>
  <c r="K44" i="1"/>
  <c r="J44" i="1"/>
  <c r="G44" i="1"/>
  <c r="F44" i="1"/>
  <c r="E44" i="1"/>
  <c r="C44" i="1"/>
  <c r="L43" i="1"/>
  <c r="K43" i="1"/>
  <c r="J43" i="1"/>
  <c r="G43" i="1"/>
  <c r="F43" i="1"/>
  <c r="E43" i="1"/>
  <c r="H43" i="1" s="1"/>
  <c r="C43" i="1"/>
  <c r="L42" i="1"/>
  <c r="K42" i="1"/>
  <c r="J42" i="1"/>
  <c r="M42" i="1" s="1"/>
  <c r="G42" i="1"/>
  <c r="F42" i="1"/>
  <c r="E42" i="1"/>
  <c r="C42" i="1"/>
  <c r="L41" i="1"/>
  <c r="K41" i="1"/>
  <c r="J41" i="1"/>
  <c r="G41" i="1"/>
  <c r="F41" i="1"/>
  <c r="E41" i="1"/>
  <c r="C41" i="1"/>
  <c r="L40" i="1"/>
  <c r="K40" i="1"/>
  <c r="J40" i="1"/>
  <c r="G40" i="1"/>
  <c r="F40" i="1"/>
  <c r="E40" i="1"/>
  <c r="C40" i="1"/>
  <c r="L39" i="1"/>
  <c r="K39" i="1"/>
  <c r="J39" i="1"/>
  <c r="G39" i="1"/>
  <c r="F39" i="1"/>
  <c r="E39" i="1"/>
  <c r="C39" i="1"/>
  <c r="L38" i="1"/>
  <c r="K38" i="1"/>
  <c r="J38" i="1"/>
  <c r="G38" i="1"/>
  <c r="F38" i="1"/>
  <c r="E38" i="1"/>
  <c r="C38" i="1"/>
  <c r="L37" i="1"/>
  <c r="K37" i="1"/>
  <c r="J37" i="1"/>
  <c r="G37" i="1"/>
  <c r="F37" i="1"/>
  <c r="E37" i="1"/>
  <c r="C37" i="1"/>
  <c r="L36" i="1"/>
  <c r="K36" i="1"/>
  <c r="J36" i="1"/>
  <c r="G36" i="1"/>
  <c r="F36" i="1"/>
  <c r="E36" i="1"/>
  <c r="C36" i="1"/>
  <c r="L35" i="1"/>
  <c r="K35" i="1"/>
  <c r="J35" i="1"/>
  <c r="G35" i="1"/>
  <c r="F35" i="1"/>
  <c r="E35" i="1"/>
  <c r="C35" i="1"/>
  <c r="L34" i="1"/>
  <c r="K34" i="1"/>
  <c r="J34" i="1"/>
  <c r="G34" i="1"/>
  <c r="F34" i="1"/>
  <c r="E34" i="1"/>
  <c r="C34" i="1"/>
  <c r="L33" i="1"/>
  <c r="K33" i="1"/>
  <c r="J33" i="1"/>
  <c r="G33" i="1"/>
  <c r="F33" i="1"/>
  <c r="E33" i="1"/>
  <c r="C33" i="1"/>
  <c r="L32" i="1"/>
  <c r="K32" i="1"/>
  <c r="J32" i="1"/>
  <c r="G32" i="1"/>
  <c r="F32" i="1"/>
  <c r="E32" i="1"/>
  <c r="C32" i="1"/>
  <c r="L31" i="1"/>
  <c r="K31" i="1"/>
  <c r="J31" i="1"/>
  <c r="G31" i="1"/>
  <c r="F31" i="1"/>
  <c r="E31" i="1"/>
  <c r="C31" i="1"/>
  <c r="L30" i="1"/>
  <c r="K30" i="1"/>
  <c r="J30" i="1"/>
  <c r="M30" i="1" s="1"/>
  <c r="G30" i="1"/>
  <c r="F30" i="1"/>
  <c r="E30" i="1"/>
  <c r="C30" i="1"/>
  <c r="L29" i="1"/>
  <c r="K29" i="1"/>
  <c r="J29" i="1"/>
  <c r="G29" i="1"/>
  <c r="F29" i="1"/>
  <c r="E29" i="1"/>
  <c r="C29" i="1"/>
  <c r="L28" i="1"/>
  <c r="K28" i="1"/>
  <c r="J28" i="1"/>
  <c r="G28" i="1"/>
  <c r="F28" i="1"/>
  <c r="E28" i="1"/>
  <c r="C28" i="1"/>
  <c r="L27" i="1"/>
  <c r="K27" i="1"/>
  <c r="J27" i="1"/>
  <c r="G27" i="1"/>
  <c r="F27" i="1"/>
  <c r="E27" i="1"/>
  <c r="C27" i="1"/>
  <c r="L26" i="1"/>
  <c r="K26" i="1"/>
  <c r="J26" i="1"/>
  <c r="G26" i="1"/>
  <c r="F26" i="1"/>
  <c r="E26" i="1"/>
  <c r="C26" i="1"/>
  <c r="L25" i="1"/>
  <c r="K25" i="1"/>
  <c r="J25" i="1"/>
  <c r="G25" i="1"/>
  <c r="F25" i="1"/>
  <c r="E25" i="1"/>
  <c r="C25" i="1"/>
  <c r="L24" i="1"/>
  <c r="K24" i="1"/>
  <c r="J24" i="1"/>
  <c r="G24" i="1"/>
  <c r="F24" i="1"/>
  <c r="E24" i="1"/>
  <c r="C24" i="1"/>
  <c r="L23" i="1"/>
  <c r="K23" i="1"/>
  <c r="J23" i="1"/>
  <c r="G23" i="1"/>
  <c r="F23" i="1"/>
  <c r="E23" i="1"/>
  <c r="C23" i="1"/>
  <c r="L22" i="1"/>
  <c r="K22" i="1"/>
  <c r="J22" i="1"/>
  <c r="G22" i="1"/>
  <c r="F22" i="1"/>
  <c r="E22" i="1"/>
  <c r="C22" i="1"/>
  <c r="L21" i="1"/>
  <c r="K21" i="1"/>
  <c r="J21" i="1"/>
  <c r="G21" i="1"/>
  <c r="F21" i="1"/>
  <c r="E21" i="1"/>
  <c r="C21" i="1"/>
  <c r="L20" i="1"/>
  <c r="K20" i="1"/>
  <c r="J20" i="1"/>
  <c r="M20" i="1" s="1"/>
  <c r="G20" i="1"/>
  <c r="F20" i="1"/>
  <c r="E20" i="1"/>
  <c r="C20" i="1"/>
  <c r="L19" i="1"/>
  <c r="K19" i="1"/>
  <c r="J19" i="1"/>
  <c r="G19" i="1"/>
  <c r="F19" i="1"/>
  <c r="E19" i="1"/>
  <c r="C19" i="1"/>
  <c r="L18" i="1"/>
  <c r="K18" i="1"/>
  <c r="J18" i="1"/>
  <c r="M18" i="1" s="1"/>
  <c r="G18" i="1"/>
  <c r="F18" i="1"/>
  <c r="E18" i="1"/>
  <c r="C18" i="1"/>
  <c r="L17" i="1"/>
  <c r="K17" i="1"/>
  <c r="J17" i="1"/>
  <c r="M17" i="1" s="1"/>
  <c r="G17" i="1"/>
  <c r="F17" i="1"/>
  <c r="E17" i="1"/>
  <c r="C17" i="1"/>
  <c r="L16" i="1"/>
  <c r="K16" i="1"/>
  <c r="J16" i="1"/>
  <c r="G16" i="1"/>
  <c r="F16" i="1"/>
  <c r="E16" i="1"/>
  <c r="C16" i="1"/>
  <c r="L15" i="1"/>
  <c r="K15" i="1"/>
  <c r="J15" i="1"/>
  <c r="G15" i="1"/>
  <c r="F15" i="1"/>
  <c r="E15" i="1"/>
  <c r="C15" i="1"/>
  <c r="L14" i="1"/>
  <c r="K14" i="1"/>
  <c r="J14" i="1"/>
  <c r="G14" i="1"/>
  <c r="F14" i="1"/>
  <c r="E14" i="1"/>
  <c r="C14" i="1"/>
  <c r="L13" i="1"/>
  <c r="K13" i="1"/>
  <c r="J13" i="1"/>
  <c r="M13" i="1" s="1"/>
  <c r="G13" i="1"/>
  <c r="F13" i="1"/>
  <c r="E13" i="1"/>
  <c r="C13" i="1"/>
  <c r="L12" i="1"/>
  <c r="K12" i="1"/>
  <c r="J12" i="1"/>
  <c r="G12" i="1"/>
  <c r="F12" i="1"/>
  <c r="E12" i="1"/>
  <c r="C12" i="1"/>
  <c r="L11" i="1"/>
  <c r="K11" i="1"/>
  <c r="J11" i="1"/>
  <c r="G11" i="1"/>
  <c r="F11" i="1"/>
  <c r="E11" i="1"/>
  <c r="C11" i="1"/>
  <c r="L10" i="1"/>
  <c r="K10" i="1"/>
  <c r="J10" i="1"/>
  <c r="M10" i="1" s="1"/>
  <c r="G10" i="1"/>
  <c r="F10" i="1"/>
  <c r="E10" i="1"/>
  <c r="C10" i="1"/>
  <c r="L9" i="1"/>
  <c r="K9" i="1"/>
  <c r="J9" i="1"/>
  <c r="G9" i="1"/>
  <c r="F9" i="1"/>
  <c r="E9" i="1"/>
  <c r="C9" i="1"/>
  <c r="L8" i="1"/>
  <c r="K8" i="1"/>
  <c r="J8" i="1"/>
  <c r="G8" i="1"/>
  <c r="F8" i="1"/>
  <c r="E8" i="1"/>
  <c r="C8" i="1"/>
  <c r="L7" i="1"/>
  <c r="K7" i="1"/>
  <c r="J7" i="1"/>
  <c r="M7" i="1" s="1"/>
  <c r="G7" i="1"/>
  <c r="F7" i="1"/>
  <c r="E7" i="1"/>
  <c r="C7" i="1"/>
  <c r="L6" i="1"/>
  <c r="K6" i="1"/>
  <c r="J6" i="1"/>
  <c r="G6" i="1"/>
  <c r="F6" i="1"/>
  <c r="E6" i="1"/>
  <c r="C6" i="1"/>
  <c r="L5" i="1"/>
  <c r="K5" i="1"/>
  <c r="J5" i="1"/>
  <c r="G5" i="1"/>
  <c r="F5" i="1"/>
  <c r="E5" i="1"/>
  <c r="C5" i="1"/>
  <c r="L4" i="1"/>
  <c r="K4" i="1"/>
  <c r="J4" i="1"/>
  <c r="G4" i="1"/>
  <c r="F4" i="1"/>
  <c r="E4" i="1"/>
  <c r="C4" i="1"/>
  <c r="L3" i="1"/>
  <c r="K3" i="1"/>
  <c r="J3" i="1"/>
  <c r="G3" i="1"/>
  <c r="F3" i="1"/>
  <c r="E3" i="1"/>
  <c r="C3" i="1"/>
  <c r="L2" i="1"/>
  <c r="K2" i="1"/>
  <c r="J2" i="1"/>
  <c r="G2" i="1"/>
  <c r="F2" i="1"/>
  <c r="E2" i="1"/>
  <c r="C2" i="1"/>
  <c r="M3" i="1" l="1"/>
  <c r="M69" i="1"/>
  <c r="M91" i="1"/>
  <c r="M23" i="1"/>
  <c r="M45" i="1"/>
  <c r="H80" i="1"/>
  <c r="H46" i="1"/>
  <c r="H93" i="1"/>
  <c r="M99" i="1"/>
  <c r="M56" i="1"/>
  <c r="H41" i="1"/>
  <c r="M83" i="1"/>
  <c r="M14" i="1"/>
  <c r="M58" i="1"/>
  <c r="M80" i="1"/>
  <c r="H90" i="1"/>
  <c r="M93" i="1"/>
  <c r="H65" i="1"/>
  <c r="H87" i="1"/>
  <c r="M90" i="1"/>
  <c r="M87" i="1"/>
  <c r="H79" i="1"/>
  <c r="H76" i="1"/>
  <c r="H36" i="1"/>
  <c r="H10" i="1"/>
  <c r="H6" i="1"/>
  <c r="M9" i="1"/>
  <c r="M53" i="1"/>
  <c r="M6" i="1"/>
  <c r="M28" i="1"/>
  <c r="M72" i="1"/>
  <c r="M94" i="1"/>
  <c r="M96" i="1"/>
  <c r="H23" i="1"/>
  <c r="M29" i="1"/>
  <c r="M39" i="1"/>
  <c r="M97" i="1"/>
  <c r="H49" i="1"/>
  <c r="H86" i="1"/>
  <c r="H12" i="1"/>
  <c r="H98" i="1"/>
  <c r="H3" i="1"/>
  <c r="H9" i="1"/>
  <c r="M12" i="1"/>
  <c r="H68" i="1"/>
  <c r="H83" i="1"/>
  <c r="M86" i="1"/>
  <c r="M89" i="1"/>
  <c r="H95" i="1"/>
  <c r="M66" i="1"/>
  <c r="H35" i="1"/>
  <c r="H69" i="1"/>
  <c r="H32" i="1"/>
  <c r="H57" i="1"/>
  <c r="H54" i="1"/>
  <c r="H20" i="1"/>
  <c r="M63" i="1"/>
  <c r="H14" i="1"/>
  <c r="H11" i="1"/>
  <c r="H39" i="1"/>
  <c r="H82" i="1"/>
  <c r="H91" i="1"/>
  <c r="H8" i="1"/>
  <c r="H58" i="1"/>
  <c r="H70" i="1"/>
  <c r="H73" i="1"/>
  <c r="H55" i="1"/>
  <c r="H2" i="1"/>
  <c r="M36" i="1"/>
  <c r="H52" i="1"/>
  <c r="H24" i="1"/>
  <c r="H21" i="1"/>
  <c r="M27" i="1"/>
  <c r="M40" i="1"/>
  <c r="M71" i="1"/>
  <c r="H25" i="1"/>
  <c r="M59" i="1"/>
  <c r="H16" i="1"/>
  <c r="M25" i="1"/>
  <c r="H47" i="1"/>
  <c r="M50" i="1"/>
  <c r="H13" i="1"/>
  <c r="H44" i="1"/>
  <c r="M47" i="1"/>
  <c r="H56" i="1"/>
  <c r="H88" i="1"/>
  <c r="H48" i="1"/>
  <c r="H19" i="1"/>
  <c r="H22" i="1"/>
  <c r="H60" i="1"/>
  <c r="M74" i="1"/>
  <c r="M77" i="1"/>
  <c r="M16" i="1"/>
  <c r="H28" i="1"/>
  <c r="M48" i="1"/>
  <c r="H92" i="1"/>
  <c r="H31" i="1"/>
  <c r="H34" i="1"/>
  <c r="H63" i="1"/>
  <c r="H66" i="1"/>
  <c r="H5" i="1"/>
  <c r="M19" i="1"/>
  <c r="M22" i="1"/>
  <c r="M31" i="1"/>
  <c r="M34" i="1"/>
  <c r="M60" i="1"/>
  <c r="H72" i="1"/>
  <c r="H75" i="1"/>
  <c r="M92" i="1"/>
  <c r="M2" i="1"/>
  <c r="H37" i="1"/>
  <c r="H40" i="1"/>
  <c r="H78" i="1"/>
  <c r="M98" i="1"/>
  <c r="H18" i="1"/>
  <c r="M33" i="1"/>
  <c r="H51" i="1"/>
  <c r="M75" i="1"/>
  <c r="M78" i="1"/>
  <c r="M5" i="1"/>
  <c r="M8" i="1"/>
  <c r="H17" i="1"/>
  <c r="M37" i="1"/>
  <c r="M43" i="1"/>
  <c r="M46" i="1"/>
  <c r="H81" i="1"/>
  <c r="H84" i="1"/>
  <c r="M49" i="1"/>
  <c r="H61" i="1"/>
  <c r="H26" i="1"/>
  <c r="H29" i="1"/>
  <c r="H64" i="1"/>
  <c r="H67" i="1"/>
  <c r="M81" i="1"/>
  <c r="H38" i="1"/>
  <c r="M52" i="1"/>
  <c r="M55" i="1"/>
  <c r="M64" i="1"/>
  <c r="M67" i="1"/>
  <c r="H96" i="1"/>
  <c r="H99" i="1"/>
  <c r="M4" i="1"/>
  <c r="M11" i="1"/>
  <c r="M26" i="1"/>
  <c r="M32" i="1"/>
  <c r="M35" i="1"/>
  <c r="M70" i="1"/>
  <c r="M76" i="1"/>
  <c r="M79" i="1"/>
  <c r="H53" i="1"/>
  <c r="H27" i="1"/>
  <c r="M44" i="1"/>
  <c r="M21" i="1"/>
  <c r="H59" i="1"/>
  <c r="H62" i="1"/>
  <c r="H97" i="1"/>
  <c r="H50" i="1"/>
  <c r="H15" i="1"/>
  <c r="H85" i="1"/>
  <c r="M41" i="1"/>
  <c r="M82" i="1"/>
  <c r="H94" i="1"/>
  <c r="M15" i="1"/>
  <c r="M24" i="1"/>
  <c r="H30" i="1"/>
  <c r="H33" i="1"/>
  <c r="H71" i="1"/>
  <c r="M85" i="1"/>
  <c r="M88" i="1"/>
  <c r="H100" i="1"/>
  <c r="M65" i="1"/>
  <c r="M68" i="1"/>
  <c r="H4" i="1"/>
  <c r="H7" i="1"/>
  <c r="H42" i="1"/>
  <c r="H45" i="1"/>
  <c r="H74" i="1"/>
  <c r="H77" i="1"/>
  <c r="M100" i="1"/>
  <c r="M38" i="1"/>
  <c r="H89" i="1"/>
</calcChain>
</file>

<file path=xl/sharedStrings.xml><?xml version="1.0" encoding="utf-8"?>
<sst xmlns="http://schemas.openxmlformats.org/spreadsheetml/2006/main" count="708" uniqueCount="207">
  <si>
    <t>Línea Titular</t>
  </si>
  <si>
    <t>Número destino</t>
  </si>
  <si>
    <t>Fecha</t>
  </si>
  <si>
    <t xml:space="preserve">Hora </t>
  </si>
  <si>
    <t>Duración (Segundos)</t>
  </si>
  <si>
    <t>51977369934</t>
  </si>
  <si>
    <t>51946024620</t>
  </si>
  <si>
    <t>20181113</t>
  </si>
  <si>
    <t>115725</t>
  </si>
  <si>
    <t>0</t>
  </si>
  <si>
    <t>Voz</t>
  </si>
  <si>
    <t>Entrante</t>
  </si>
  <si>
    <t>51949616385</t>
  </si>
  <si>
    <t>20181112</t>
  </si>
  <si>
    <t>081313</t>
  </si>
  <si>
    <t>34</t>
  </si>
  <si>
    <t>081401</t>
  </si>
  <si>
    <t>78</t>
  </si>
  <si>
    <t>14101010</t>
  </si>
  <si>
    <t>20181226</t>
  </si>
  <si>
    <t>145238</t>
  </si>
  <si>
    <t>31</t>
  </si>
  <si>
    <t>Saliente</t>
  </si>
  <si>
    <t>145345</t>
  </si>
  <si>
    <t>67</t>
  </si>
  <si>
    <t>14244806</t>
  </si>
  <si>
    <t>155308</t>
  </si>
  <si>
    <t>46</t>
  </si>
  <si>
    <t>51914898652</t>
  </si>
  <si>
    <t>075832</t>
  </si>
  <si>
    <t>144</t>
  </si>
  <si>
    <t>133956</t>
  </si>
  <si>
    <t>108</t>
  </si>
  <si>
    <t>080755</t>
  </si>
  <si>
    <t>56</t>
  </si>
  <si>
    <t>51953283285</t>
  </si>
  <si>
    <t>20181023</t>
  </si>
  <si>
    <t>110911</t>
  </si>
  <si>
    <t>631</t>
  </si>
  <si>
    <t>51962852230</t>
  </si>
  <si>
    <t>134218</t>
  </si>
  <si>
    <t>151</t>
  </si>
  <si>
    <t>51965329388</t>
  </si>
  <si>
    <t>20181025</t>
  </si>
  <si>
    <t>074547</t>
  </si>
  <si>
    <t>11</t>
  </si>
  <si>
    <t>51970118585</t>
  </si>
  <si>
    <t>110830</t>
  </si>
  <si>
    <t>13</t>
  </si>
  <si>
    <t>51977698049</t>
  </si>
  <si>
    <t>20181108</t>
  </si>
  <si>
    <t>230823</t>
  </si>
  <si>
    <t>14</t>
  </si>
  <si>
    <t>51981214282</t>
  </si>
  <si>
    <t>20181105</t>
  </si>
  <si>
    <t>105226</t>
  </si>
  <si>
    <t>44</t>
  </si>
  <si>
    <t>135712</t>
  </si>
  <si>
    <t>12</t>
  </si>
  <si>
    <t>51987271445</t>
  </si>
  <si>
    <t>20181129</t>
  </si>
  <si>
    <t>104911</t>
  </si>
  <si>
    <t>15</t>
  </si>
  <si>
    <t>51990969931</t>
  </si>
  <si>
    <t>20181227</t>
  </si>
  <si>
    <t>143323</t>
  </si>
  <si>
    <t>1</t>
  </si>
  <si>
    <t>51991474835</t>
  </si>
  <si>
    <t>110244</t>
  </si>
  <si>
    <t>318</t>
  </si>
  <si>
    <t>121734</t>
  </si>
  <si>
    <t>131</t>
  </si>
  <si>
    <t>20181029</t>
  </si>
  <si>
    <t>122823</t>
  </si>
  <si>
    <t>375</t>
  </si>
  <si>
    <t>20181126</t>
  </si>
  <si>
    <t>133846</t>
  </si>
  <si>
    <t>89</t>
  </si>
  <si>
    <t>134904</t>
  </si>
  <si>
    <t>23</t>
  </si>
  <si>
    <t>134944</t>
  </si>
  <si>
    <t>141</t>
  </si>
  <si>
    <t>144725</t>
  </si>
  <si>
    <t>83</t>
  </si>
  <si>
    <t>164134</t>
  </si>
  <si>
    <t>27</t>
  </si>
  <si>
    <t>170300</t>
  </si>
  <si>
    <t>51998106245</t>
  </si>
  <si>
    <t>20181110</t>
  </si>
  <si>
    <t>073636</t>
  </si>
  <si>
    <t>62</t>
  </si>
  <si>
    <t>073921</t>
  </si>
  <si>
    <t>2</t>
  </si>
  <si>
    <t>20181121</t>
  </si>
  <si>
    <t>080222</t>
  </si>
  <si>
    <t>20181116</t>
  </si>
  <si>
    <t>080305</t>
  </si>
  <si>
    <t>080538</t>
  </si>
  <si>
    <t>20181120</t>
  </si>
  <si>
    <t>080611</t>
  </si>
  <si>
    <t>080747</t>
  </si>
  <si>
    <t>3</t>
  </si>
  <si>
    <t>20181119</t>
  </si>
  <si>
    <t>081439</t>
  </si>
  <si>
    <t>4</t>
  </si>
  <si>
    <t>082455</t>
  </si>
  <si>
    <t>5</t>
  </si>
  <si>
    <t>082515</t>
  </si>
  <si>
    <t>20181115</t>
  </si>
  <si>
    <t>082838</t>
  </si>
  <si>
    <t>082854</t>
  </si>
  <si>
    <t>16</t>
  </si>
  <si>
    <t>083109</t>
  </si>
  <si>
    <t>083158</t>
  </si>
  <si>
    <t>7</t>
  </si>
  <si>
    <t>20181212</t>
  </si>
  <si>
    <t>085711</t>
  </si>
  <si>
    <t>20181130</t>
  </si>
  <si>
    <t>085949</t>
  </si>
  <si>
    <t>090936</t>
  </si>
  <si>
    <t>20181221</t>
  </si>
  <si>
    <t>091514</t>
  </si>
  <si>
    <t>20181206</t>
  </si>
  <si>
    <t>091855</t>
  </si>
  <si>
    <t>20181217</t>
  </si>
  <si>
    <t>091907</t>
  </si>
  <si>
    <t>20181224</t>
  </si>
  <si>
    <t>093156</t>
  </si>
  <si>
    <t>20181211</t>
  </si>
  <si>
    <t>093506</t>
  </si>
  <si>
    <t>20181207</t>
  </si>
  <si>
    <t>095349</t>
  </si>
  <si>
    <t>095504</t>
  </si>
  <si>
    <t>095905</t>
  </si>
  <si>
    <t>20181213</t>
  </si>
  <si>
    <t>102532</t>
  </si>
  <si>
    <t>20181204</t>
  </si>
  <si>
    <t>103033</t>
  </si>
  <si>
    <t>20181219</t>
  </si>
  <si>
    <t>104114</t>
  </si>
  <si>
    <t>110138</t>
  </si>
  <si>
    <t>110219</t>
  </si>
  <si>
    <t>20181214</t>
  </si>
  <si>
    <t>110854</t>
  </si>
  <si>
    <t>114045</t>
  </si>
  <si>
    <t>20181215</t>
  </si>
  <si>
    <t>115734</t>
  </si>
  <si>
    <t>120339</t>
  </si>
  <si>
    <t>122553</t>
  </si>
  <si>
    <t>122857</t>
  </si>
  <si>
    <t>123342</t>
  </si>
  <si>
    <t>133810</t>
  </si>
  <si>
    <t>140751</t>
  </si>
  <si>
    <t>150138</t>
  </si>
  <si>
    <t>150352</t>
  </si>
  <si>
    <t>20181026</t>
  </si>
  <si>
    <t>155103</t>
  </si>
  <si>
    <t>162238</t>
  </si>
  <si>
    <t>162743</t>
  </si>
  <si>
    <t>163806</t>
  </si>
  <si>
    <t>170026</t>
  </si>
  <si>
    <t>170748</t>
  </si>
  <si>
    <t>171302</t>
  </si>
  <si>
    <t>172757</t>
  </si>
  <si>
    <t>174741</t>
  </si>
  <si>
    <t>174754</t>
  </si>
  <si>
    <t>182917</t>
  </si>
  <si>
    <t>20181210</t>
  </si>
  <si>
    <t>183430</t>
  </si>
  <si>
    <t>184926</t>
  </si>
  <si>
    <t>190027</t>
  </si>
  <si>
    <t>20181220</t>
  </si>
  <si>
    <t>191309</t>
  </si>
  <si>
    <t>202739</t>
  </si>
  <si>
    <t>204243</t>
  </si>
  <si>
    <t>210359</t>
  </si>
  <si>
    <t>214518</t>
  </si>
  <si>
    <t>214611</t>
  </si>
  <si>
    <t>51998766457</t>
  </si>
  <si>
    <t>20181109</t>
  </si>
  <si>
    <t>064054</t>
  </si>
  <si>
    <t>115526</t>
  </si>
  <si>
    <t>121826</t>
  </si>
  <si>
    <t>105252</t>
  </si>
  <si>
    <t>143836</t>
  </si>
  <si>
    <t>33</t>
  </si>
  <si>
    <t>143930</t>
  </si>
  <si>
    <t>84</t>
  </si>
  <si>
    <t>074246</t>
  </si>
  <si>
    <t>341</t>
  </si>
  <si>
    <t>122613</t>
  </si>
  <si>
    <t>320</t>
  </si>
  <si>
    <t>134141</t>
  </si>
  <si>
    <t>25</t>
  </si>
  <si>
    <t>163300</t>
  </si>
  <si>
    <t>133</t>
  </si>
  <si>
    <t>171952</t>
  </si>
  <si>
    <t>26</t>
  </si>
  <si>
    <t>Año</t>
  </si>
  <si>
    <t>mes</t>
  </si>
  <si>
    <t>dia</t>
  </si>
  <si>
    <t>fecha</t>
  </si>
  <si>
    <t>hora</t>
  </si>
  <si>
    <t>minuto</t>
  </si>
  <si>
    <t>segundo</t>
  </si>
  <si>
    <t>tipo</t>
  </si>
  <si>
    <t>llamada entrante/saliente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</si>
</sst>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8"/>
      <color rgb="FFFFFFFF"/>
      <name val="Calibri"/>
    </font>
    <font>
      <sz val="8"/>
      <color theme="1"/>
      <name val="Calibri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154A0"/>
        <bgColor rgb="FF0154A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154A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154A0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0" xfId="0" applyFont="1"/>
    <xf numFmtId="0" fontId="1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6" borderId="0" xfId="0" applyFont="1" applyFill="1"/>
    <xf numFmtId="0" fontId="0" fillId="6" borderId="0" xfId="0" applyFont="1" applyFill="1" applyAlignment="1"/>
    <xf numFmtId="49" fontId="2" fillId="5" borderId="1" xfId="0" applyNumberFormat="1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0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zoomScale="160" zoomScaleNormal="160" workbookViewId="0">
      <selection activeCell="A28" sqref="A28"/>
    </sheetView>
  </sheetViews>
  <sheetFormatPr defaultColWidth="14.44140625" defaultRowHeight="15" customHeight="1" x14ac:dyDescent="0.3"/>
  <cols>
    <col min="1" max="1" width="10.44140625" style="9" customWidth="1"/>
    <col min="2" max="2" width="13" bestFit="1" customWidth="1"/>
    <col min="3" max="3" width="10.44140625" style="13" customWidth="1"/>
    <col min="4" max="4" width="7" bestFit="1" customWidth="1"/>
    <col min="5" max="5" width="5.44140625" bestFit="1" customWidth="1"/>
    <col min="6" max="7" width="4.77734375" bestFit="1" customWidth="1"/>
    <col min="8" max="8" width="8.109375" style="9" bestFit="1" customWidth="1"/>
    <col min="9" max="9" width="5.88671875" bestFit="1" customWidth="1"/>
    <col min="10" max="11" width="4.88671875" bestFit="1" customWidth="1"/>
    <col min="12" max="12" width="5.88671875" customWidth="1"/>
    <col min="13" max="13" width="6.109375" style="9" bestFit="1" customWidth="1"/>
    <col min="14" max="14" width="9.6640625" bestFit="1" customWidth="1"/>
    <col min="15" max="15" width="5.44140625" bestFit="1" customWidth="1"/>
    <col min="16" max="16" width="13.88671875" bestFit="1" customWidth="1"/>
  </cols>
  <sheetData>
    <row r="1" spans="1:16" ht="34.799999999999997" customHeight="1" x14ac:dyDescent="0.3">
      <c r="A1" s="6" t="s">
        <v>0</v>
      </c>
      <c r="B1" s="1" t="s">
        <v>1</v>
      </c>
      <c r="C1" s="11"/>
      <c r="D1" s="2" t="s">
        <v>2</v>
      </c>
      <c r="E1" s="1" t="s">
        <v>198</v>
      </c>
      <c r="F1" s="1" t="s">
        <v>199</v>
      </c>
      <c r="G1" s="1" t="s">
        <v>200</v>
      </c>
      <c r="H1" s="6" t="s">
        <v>201</v>
      </c>
      <c r="I1" s="2" t="s">
        <v>3</v>
      </c>
      <c r="J1" s="1" t="s">
        <v>202</v>
      </c>
      <c r="K1" s="1" t="s">
        <v>203</v>
      </c>
      <c r="L1" s="1" t="s">
        <v>204</v>
      </c>
      <c r="M1" s="6" t="s">
        <v>202</v>
      </c>
      <c r="N1" s="1" t="s">
        <v>4</v>
      </c>
      <c r="O1" s="1" t="s">
        <v>205</v>
      </c>
      <c r="P1" s="1" t="s">
        <v>206</v>
      </c>
    </row>
    <row r="2" spans="1:16" ht="20.399999999999999" x14ac:dyDescent="0.3">
      <c r="A2" s="10" t="s">
        <v>5</v>
      </c>
      <c r="B2" s="3" t="s">
        <v>5</v>
      </c>
      <c r="C2" s="12" t="str">
        <f>51&amp;(TEXT(RIGHT(B2,9),"000000000"))</f>
        <v>51977369934</v>
      </c>
      <c r="D2" s="3" t="s">
        <v>7</v>
      </c>
      <c r="E2" s="4" t="str">
        <f t="shared" ref="E2:E100" si="0">MID(D2,1,4)</f>
        <v>2018</v>
      </c>
      <c r="F2" s="4" t="str">
        <f t="shared" ref="F2:F100" si="1">MID(D2,5,2)</f>
        <v>11</v>
      </c>
      <c r="G2" s="4" t="str">
        <f t="shared" ref="G2:G100" si="2">MID(D2,7,2)</f>
        <v>13</v>
      </c>
      <c r="H2" s="7" t="str">
        <f t="shared" ref="H2:H100" si="3">G2&amp;"/"&amp;F2&amp;"/"&amp;E2</f>
        <v>13/11/2018</v>
      </c>
      <c r="I2" s="3" t="s">
        <v>8</v>
      </c>
      <c r="J2" s="4" t="str">
        <f t="shared" ref="J2:J100" si="4">MID(I2,1,2)</f>
        <v>11</v>
      </c>
      <c r="K2" s="4" t="str">
        <f t="shared" ref="K2:K100" si="5">MID(I2,3,2)</f>
        <v>57</v>
      </c>
      <c r="L2" s="4" t="str">
        <f t="shared" ref="L2:L100" si="6">MID(I2,5,2)</f>
        <v>25</v>
      </c>
      <c r="M2" s="7" t="str">
        <f t="shared" ref="M2:M100" si="7">J2&amp;":"&amp;K2&amp;":"&amp;L2</f>
        <v>11:57:25</v>
      </c>
      <c r="N2" s="3" t="s">
        <v>9</v>
      </c>
      <c r="O2" s="3" t="s">
        <v>10</v>
      </c>
      <c r="P2" s="3" t="s">
        <v>11</v>
      </c>
    </row>
    <row r="3" spans="1:16" ht="20.399999999999999" x14ac:dyDescent="0.3">
      <c r="A3" s="10" t="s">
        <v>5</v>
      </c>
      <c r="B3" s="3" t="s">
        <v>5</v>
      </c>
      <c r="C3" s="12" t="str">
        <f>51&amp;(TEXT(RIGHT(B3,9),"000000000"))</f>
        <v>51977369934</v>
      </c>
      <c r="D3" s="3" t="s">
        <v>13</v>
      </c>
      <c r="E3" s="4" t="str">
        <f t="shared" si="0"/>
        <v>2018</v>
      </c>
      <c r="F3" s="4" t="str">
        <f t="shared" si="1"/>
        <v>11</v>
      </c>
      <c r="G3" s="4" t="str">
        <f t="shared" si="2"/>
        <v>12</v>
      </c>
      <c r="H3" s="7" t="str">
        <f t="shared" si="3"/>
        <v>12/11/2018</v>
      </c>
      <c r="I3" s="3" t="s">
        <v>14</v>
      </c>
      <c r="J3" s="4" t="str">
        <f t="shared" si="4"/>
        <v>08</v>
      </c>
      <c r="K3" s="4" t="str">
        <f t="shared" si="5"/>
        <v>13</v>
      </c>
      <c r="L3" s="4" t="str">
        <f t="shared" si="6"/>
        <v>13</v>
      </c>
      <c r="M3" s="7" t="str">
        <f t="shared" si="7"/>
        <v>08:13:13</v>
      </c>
      <c r="N3" s="3" t="s">
        <v>15</v>
      </c>
      <c r="O3" s="3" t="s">
        <v>10</v>
      </c>
      <c r="P3" s="3" t="s">
        <v>11</v>
      </c>
    </row>
    <row r="4" spans="1:16" ht="20.399999999999999" x14ac:dyDescent="0.3">
      <c r="A4" s="10" t="s">
        <v>5</v>
      </c>
      <c r="B4" s="3" t="s">
        <v>5</v>
      </c>
      <c r="C4" s="12" t="str">
        <f>51&amp;(TEXT(RIGHT(B4,9),"000000000"))</f>
        <v>51977369934</v>
      </c>
      <c r="D4" s="3" t="s">
        <v>13</v>
      </c>
      <c r="E4" s="4" t="str">
        <f t="shared" si="0"/>
        <v>2018</v>
      </c>
      <c r="F4" s="4" t="str">
        <f t="shared" si="1"/>
        <v>11</v>
      </c>
      <c r="G4" s="4" t="str">
        <f t="shared" si="2"/>
        <v>12</v>
      </c>
      <c r="H4" s="7" t="str">
        <f t="shared" si="3"/>
        <v>12/11/2018</v>
      </c>
      <c r="I4" s="3" t="s">
        <v>16</v>
      </c>
      <c r="J4" s="4" t="str">
        <f t="shared" si="4"/>
        <v>08</v>
      </c>
      <c r="K4" s="4" t="str">
        <f t="shared" si="5"/>
        <v>14</v>
      </c>
      <c r="L4" s="4" t="str">
        <f t="shared" si="6"/>
        <v>01</v>
      </c>
      <c r="M4" s="7" t="str">
        <f t="shared" si="7"/>
        <v>08:14:01</v>
      </c>
      <c r="N4" s="3" t="s">
        <v>17</v>
      </c>
      <c r="O4" s="3" t="s">
        <v>10</v>
      </c>
      <c r="P4" s="3" t="s">
        <v>11</v>
      </c>
    </row>
    <row r="5" spans="1:16" ht="20.399999999999999" x14ac:dyDescent="0.3">
      <c r="A5" s="10" t="s">
        <v>5</v>
      </c>
      <c r="B5" s="3" t="s">
        <v>18</v>
      </c>
      <c r="C5" s="12" t="str">
        <f>51&amp;(TEXT(RIGHT(B5,8),"000000000"))</f>
        <v>51014101010</v>
      </c>
      <c r="D5" s="3" t="s">
        <v>19</v>
      </c>
      <c r="E5" s="4" t="str">
        <f t="shared" si="0"/>
        <v>2018</v>
      </c>
      <c r="F5" s="4" t="str">
        <f t="shared" si="1"/>
        <v>12</v>
      </c>
      <c r="G5" s="4" t="str">
        <f t="shared" si="2"/>
        <v>26</v>
      </c>
      <c r="H5" s="7" t="str">
        <f t="shared" si="3"/>
        <v>26/12/2018</v>
      </c>
      <c r="I5" s="3" t="s">
        <v>20</v>
      </c>
      <c r="J5" s="4" t="str">
        <f t="shared" si="4"/>
        <v>14</v>
      </c>
      <c r="K5" s="4" t="str">
        <f t="shared" si="5"/>
        <v>52</v>
      </c>
      <c r="L5" s="4" t="str">
        <f t="shared" si="6"/>
        <v>38</v>
      </c>
      <c r="M5" s="7" t="str">
        <f t="shared" si="7"/>
        <v>14:52:38</v>
      </c>
      <c r="N5" s="3" t="s">
        <v>21</v>
      </c>
      <c r="O5" s="3" t="s">
        <v>10</v>
      </c>
      <c r="P5" s="3" t="s">
        <v>22</v>
      </c>
    </row>
    <row r="6" spans="1:16" ht="20.399999999999999" x14ac:dyDescent="0.3">
      <c r="A6" s="10" t="s">
        <v>5</v>
      </c>
      <c r="B6" s="3" t="s">
        <v>18</v>
      </c>
      <c r="C6" s="12" t="str">
        <f>51&amp;(TEXT(RIGHT(B6,8),"000000000"))</f>
        <v>51014101010</v>
      </c>
      <c r="D6" s="3" t="s">
        <v>19</v>
      </c>
      <c r="E6" s="4" t="str">
        <f t="shared" si="0"/>
        <v>2018</v>
      </c>
      <c r="F6" s="4" t="str">
        <f t="shared" si="1"/>
        <v>12</v>
      </c>
      <c r="G6" s="4" t="str">
        <f t="shared" si="2"/>
        <v>26</v>
      </c>
      <c r="H6" s="7" t="str">
        <f t="shared" si="3"/>
        <v>26/12/2018</v>
      </c>
      <c r="I6" s="3" t="s">
        <v>23</v>
      </c>
      <c r="J6" s="4" t="str">
        <f t="shared" si="4"/>
        <v>14</v>
      </c>
      <c r="K6" s="4" t="str">
        <f t="shared" si="5"/>
        <v>53</v>
      </c>
      <c r="L6" s="4" t="str">
        <f t="shared" si="6"/>
        <v>45</v>
      </c>
      <c r="M6" s="7" t="str">
        <f t="shared" si="7"/>
        <v>14:53:45</v>
      </c>
      <c r="N6" s="3" t="s">
        <v>24</v>
      </c>
      <c r="O6" s="3" t="s">
        <v>10</v>
      </c>
      <c r="P6" s="3" t="s">
        <v>22</v>
      </c>
    </row>
    <row r="7" spans="1:16" ht="20.399999999999999" x14ac:dyDescent="0.3">
      <c r="A7" s="10" t="s">
        <v>5</v>
      </c>
      <c r="B7" s="3" t="s">
        <v>25</v>
      </c>
      <c r="C7" s="12" t="str">
        <f>51&amp;(TEXT(RIGHT(B7,8),"000000000"))</f>
        <v>51014244806</v>
      </c>
      <c r="D7" s="3" t="s">
        <v>19</v>
      </c>
      <c r="E7" s="4" t="str">
        <f t="shared" si="0"/>
        <v>2018</v>
      </c>
      <c r="F7" s="4" t="str">
        <f t="shared" si="1"/>
        <v>12</v>
      </c>
      <c r="G7" s="4" t="str">
        <f t="shared" si="2"/>
        <v>26</v>
      </c>
      <c r="H7" s="7" t="str">
        <f t="shared" si="3"/>
        <v>26/12/2018</v>
      </c>
      <c r="I7" s="3" t="s">
        <v>26</v>
      </c>
      <c r="J7" s="4" t="str">
        <f t="shared" si="4"/>
        <v>15</v>
      </c>
      <c r="K7" s="4" t="str">
        <f t="shared" si="5"/>
        <v>53</v>
      </c>
      <c r="L7" s="4" t="str">
        <f t="shared" si="6"/>
        <v>08</v>
      </c>
      <c r="M7" s="7" t="str">
        <f t="shared" si="7"/>
        <v>15:53:08</v>
      </c>
      <c r="N7" s="3" t="s">
        <v>27</v>
      </c>
      <c r="O7" s="3" t="s">
        <v>10</v>
      </c>
      <c r="P7" s="3" t="s">
        <v>22</v>
      </c>
    </row>
    <row r="8" spans="1:16" ht="20.399999999999999" x14ac:dyDescent="0.3">
      <c r="A8" s="10" t="s">
        <v>5</v>
      </c>
      <c r="B8" s="3" t="s">
        <v>28</v>
      </c>
      <c r="C8" s="12" t="str">
        <f t="shared" ref="C8:C39" si="8">51&amp;(TEXT(RIGHT(B8,9),"000000000"))</f>
        <v>51914898652</v>
      </c>
      <c r="D8" s="3" t="s">
        <v>13</v>
      </c>
      <c r="E8" s="4" t="str">
        <f t="shared" si="0"/>
        <v>2018</v>
      </c>
      <c r="F8" s="4" t="str">
        <f t="shared" si="1"/>
        <v>11</v>
      </c>
      <c r="G8" s="4" t="str">
        <f t="shared" si="2"/>
        <v>12</v>
      </c>
      <c r="H8" s="7" t="str">
        <f t="shared" si="3"/>
        <v>12/11/2018</v>
      </c>
      <c r="I8" s="3" t="s">
        <v>29</v>
      </c>
      <c r="J8" s="4" t="str">
        <f t="shared" si="4"/>
        <v>07</v>
      </c>
      <c r="K8" s="4" t="str">
        <f t="shared" si="5"/>
        <v>58</v>
      </c>
      <c r="L8" s="4" t="str">
        <f t="shared" si="6"/>
        <v>32</v>
      </c>
      <c r="M8" s="7" t="str">
        <f t="shared" si="7"/>
        <v>07:58:32</v>
      </c>
      <c r="N8" s="3" t="s">
        <v>30</v>
      </c>
      <c r="O8" s="3" t="s">
        <v>10</v>
      </c>
      <c r="P8" s="3" t="s">
        <v>22</v>
      </c>
    </row>
    <row r="9" spans="1:16" ht="20.399999999999999" x14ac:dyDescent="0.3">
      <c r="A9" s="10" t="s">
        <v>5</v>
      </c>
      <c r="B9" s="3" t="s">
        <v>6</v>
      </c>
      <c r="C9" s="12" t="str">
        <f t="shared" si="8"/>
        <v>51946024620</v>
      </c>
      <c r="D9" s="3" t="s">
        <v>7</v>
      </c>
      <c r="E9" s="4" t="str">
        <f t="shared" si="0"/>
        <v>2018</v>
      </c>
      <c r="F9" s="4" t="str">
        <f t="shared" si="1"/>
        <v>11</v>
      </c>
      <c r="G9" s="4" t="str">
        <f t="shared" si="2"/>
        <v>13</v>
      </c>
      <c r="H9" s="7" t="str">
        <f t="shared" si="3"/>
        <v>13/11/2018</v>
      </c>
      <c r="I9" s="3" t="s">
        <v>31</v>
      </c>
      <c r="J9" s="4" t="str">
        <f t="shared" si="4"/>
        <v>13</v>
      </c>
      <c r="K9" s="4" t="str">
        <f t="shared" si="5"/>
        <v>39</v>
      </c>
      <c r="L9" s="4" t="str">
        <f t="shared" si="6"/>
        <v>56</v>
      </c>
      <c r="M9" s="7" t="str">
        <f t="shared" si="7"/>
        <v>13:39:56</v>
      </c>
      <c r="N9" s="3" t="s">
        <v>32</v>
      </c>
      <c r="O9" s="3" t="s">
        <v>10</v>
      </c>
      <c r="P9" s="3" t="s">
        <v>22</v>
      </c>
    </row>
    <row r="10" spans="1:16" ht="20.399999999999999" x14ac:dyDescent="0.3">
      <c r="A10" s="10" t="s">
        <v>5</v>
      </c>
      <c r="B10" s="3" t="s">
        <v>12</v>
      </c>
      <c r="C10" s="12" t="str">
        <f t="shared" si="8"/>
        <v>51949616385</v>
      </c>
      <c r="D10" s="3" t="s">
        <v>13</v>
      </c>
      <c r="E10" s="4" t="str">
        <f t="shared" si="0"/>
        <v>2018</v>
      </c>
      <c r="F10" s="4" t="str">
        <f t="shared" si="1"/>
        <v>11</v>
      </c>
      <c r="G10" s="4" t="str">
        <f t="shared" si="2"/>
        <v>12</v>
      </c>
      <c r="H10" s="7" t="str">
        <f t="shared" si="3"/>
        <v>12/11/2018</v>
      </c>
      <c r="I10" s="3" t="s">
        <v>33</v>
      </c>
      <c r="J10" s="4" t="str">
        <f t="shared" si="4"/>
        <v>08</v>
      </c>
      <c r="K10" s="4" t="str">
        <f t="shared" si="5"/>
        <v>07</v>
      </c>
      <c r="L10" s="4" t="str">
        <f t="shared" si="6"/>
        <v>55</v>
      </c>
      <c r="M10" s="7" t="str">
        <f t="shared" si="7"/>
        <v>08:07:55</v>
      </c>
      <c r="N10" s="3" t="s">
        <v>34</v>
      </c>
      <c r="O10" s="3" t="s">
        <v>10</v>
      </c>
      <c r="P10" s="3" t="s">
        <v>22</v>
      </c>
    </row>
    <row r="11" spans="1:16" ht="20.399999999999999" x14ac:dyDescent="0.3">
      <c r="A11" s="10" t="s">
        <v>5</v>
      </c>
      <c r="B11" s="3" t="s">
        <v>35</v>
      </c>
      <c r="C11" s="12" t="str">
        <f t="shared" si="8"/>
        <v>51953283285</v>
      </c>
      <c r="D11" s="3" t="s">
        <v>36</v>
      </c>
      <c r="E11" s="4" t="str">
        <f t="shared" si="0"/>
        <v>2018</v>
      </c>
      <c r="F11" s="4" t="str">
        <f t="shared" si="1"/>
        <v>10</v>
      </c>
      <c r="G11" s="4" t="str">
        <f t="shared" si="2"/>
        <v>23</v>
      </c>
      <c r="H11" s="7" t="str">
        <f t="shared" si="3"/>
        <v>23/10/2018</v>
      </c>
      <c r="I11" s="3" t="s">
        <v>37</v>
      </c>
      <c r="J11" s="4" t="str">
        <f t="shared" si="4"/>
        <v>11</v>
      </c>
      <c r="K11" s="4" t="str">
        <f t="shared" si="5"/>
        <v>09</v>
      </c>
      <c r="L11" s="4" t="str">
        <f t="shared" si="6"/>
        <v>11</v>
      </c>
      <c r="M11" s="7" t="str">
        <f t="shared" si="7"/>
        <v>11:09:11</v>
      </c>
      <c r="N11" s="3" t="s">
        <v>38</v>
      </c>
      <c r="O11" s="3" t="s">
        <v>10</v>
      </c>
      <c r="P11" s="3" t="s">
        <v>22</v>
      </c>
    </row>
    <row r="12" spans="1:16" ht="20.399999999999999" x14ac:dyDescent="0.3">
      <c r="A12" s="10" t="s">
        <v>5</v>
      </c>
      <c r="B12" s="3" t="s">
        <v>39</v>
      </c>
      <c r="C12" s="12" t="str">
        <f t="shared" si="8"/>
        <v>51962852230</v>
      </c>
      <c r="D12" s="3" t="s">
        <v>7</v>
      </c>
      <c r="E12" s="4" t="str">
        <f t="shared" si="0"/>
        <v>2018</v>
      </c>
      <c r="F12" s="4" t="str">
        <f t="shared" si="1"/>
        <v>11</v>
      </c>
      <c r="G12" s="4" t="str">
        <f t="shared" si="2"/>
        <v>13</v>
      </c>
      <c r="H12" s="7" t="str">
        <f t="shared" si="3"/>
        <v>13/11/2018</v>
      </c>
      <c r="I12" s="3" t="s">
        <v>40</v>
      </c>
      <c r="J12" s="4" t="str">
        <f t="shared" si="4"/>
        <v>13</v>
      </c>
      <c r="K12" s="4" t="str">
        <f t="shared" si="5"/>
        <v>42</v>
      </c>
      <c r="L12" s="4" t="str">
        <f t="shared" si="6"/>
        <v>18</v>
      </c>
      <c r="M12" s="7" t="str">
        <f t="shared" si="7"/>
        <v>13:42:18</v>
      </c>
      <c r="N12" s="3" t="s">
        <v>41</v>
      </c>
      <c r="O12" s="3" t="s">
        <v>10</v>
      </c>
      <c r="P12" s="3" t="s">
        <v>22</v>
      </c>
    </row>
    <row r="13" spans="1:16" ht="20.399999999999999" x14ac:dyDescent="0.3">
      <c r="A13" s="10" t="s">
        <v>5</v>
      </c>
      <c r="B13" s="3" t="s">
        <v>42</v>
      </c>
      <c r="C13" s="12" t="str">
        <f t="shared" si="8"/>
        <v>51965329388</v>
      </c>
      <c r="D13" s="3" t="s">
        <v>43</v>
      </c>
      <c r="E13" s="4" t="str">
        <f t="shared" si="0"/>
        <v>2018</v>
      </c>
      <c r="F13" s="4" t="str">
        <f t="shared" si="1"/>
        <v>10</v>
      </c>
      <c r="G13" s="4" t="str">
        <f t="shared" si="2"/>
        <v>25</v>
      </c>
      <c r="H13" s="7" t="str">
        <f t="shared" si="3"/>
        <v>25/10/2018</v>
      </c>
      <c r="I13" s="3" t="s">
        <v>44</v>
      </c>
      <c r="J13" s="4" t="str">
        <f t="shared" si="4"/>
        <v>07</v>
      </c>
      <c r="K13" s="4" t="str">
        <f t="shared" si="5"/>
        <v>45</v>
      </c>
      <c r="L13" s="4" t="str">
        <f t="shared" si="6"/>
        <v>47</v>
      </c>
      <c r="M13" s="7" t="str">
        <f t="shared" si="7"/>
        <v>07:45:47</v>
      </c>
      <c r="N13" s="3" t="s">
        <v>45</v>
      </c>
      <c r="O13" s="3" t="s">
        <v>10</v>
      </c>
      <c r="P13" s="3" t="s">
        <v>22</v>
      </c>
    </row>
    <row r="14" spans="1:16" ht="20.399999999999999" x14ac:dyDescent="0.3">
      <c r="A14" s="10" t="s">
        <v>5</v>
      </c>
      <c r="B14" s="3" t="s">
        <v>46</v>
      </c>
      <c r="C14" s="12" t="str">
        <f t="shared" si="8"/>
        <v>51970118585</v>
      </c>
      <c r="D14" s="3" t="s">
        <v>36</v>
      </c>
      <c r="E14" s="4" t="str">
        <f t="shared" si="0"/>
        <v>2018</v>
      </c>
      <c r="F14" s="4" t="str">
        <f t="shared" si="1"/>
        <v>10</v>
      </c>
      <c r="G14" s="4" t="str">
        <f t="shared" si="2"/>
        <v>23</v>
      </c>
      <c r="H14" s="7" t="str">
        <f t="shared" si="3"/>
        <v>23/10/2018</v>
      </c>
      <c r="I14" s="3" t="s">
        <v>47</v>
      </c>
      <c r="J14" s="4" t="str">
        <f t="shared" si="4"/>
        <v>11</v>
      </c>
      <c r="K14" s="4" t="str">
        <f t="shared" si="5"/>
        <v>08</v>
      </c>
      <c r="L14" s="4" t="str">
        <f t="shared" si="6"/>
        <v>30</v>
      </c>
      <c r="M14" s="7" t="str">
        <f t="shared" si="7"/>
        <v>11:08:30</v>
      </c>
      <c r="N14" s="3" t="s">
        <v>48</v>
      </c>
      <c r="O14" s="3" t="s">
        <v>10</v>
      </c>
      <c r="P14" s="3" t="s">
        <v>22</v>
      </c>
    </row>
    <row r="15" spans="1:16" ht="20.399999999999999" x14ac:dyDescent="0.3">
      <c r="A15" s="10" t="s">
        <v>5</v>
      </c>
      <c r="B15" s="3" t="s">
        <v>49</v>
      </c>
      <c r="C15" s="12" t="str">
        <f t="shared" si="8"/>
        <v>51977698049</v>
      </c>
      <c r="D15" s="3" t="s">
        <v>50</v>
      </c>
      <c r="E15" s="4" t="str">
        <f t="shared" si="0"/>
        <v>2018</v>
      </c>
      <c r="F15" s="4" t="str">
        <f t="shared" si="1"/>
        <v>11</v>
      </c>
      <c r="G15" s="4" t="str">
        <f t="shared" si="2"/>
        <v>08</v>
      </c>
      <c r="H15" s="7" t="str">
        <f t="shared" si="3"/>
        <v>08/11/2018</v>
      </c>
      <c r="I15" s="3" t="s">
        <v>51</v>
      </c>
      <c r="J15" s="4" t="str">
        <f t="shared" si="4"/>
        <v>23</v>
      </c>
      <c r="K15" s="4" t="str">
        <f t="shared" si="5"/>
        <v>08</v>
      </c>
      <c r="L15" s="4" t="str">
        <f t="shared" si="6"/>
        <v>23</v>
      </c>
      <c r="M15" s="7" t="str">
        <f t="shared" si="7"/>
        <v>23:08:23</v>
      </c>
      <c r="N15" s="3" t="s">
        <v>52</v>
      </c>
      <c r="O15" s="3" t="s">
        <v>10</v>
      </c>
      <c r="P15" s="3" t="s">
        <v>22</v>
      </c>
    </row>
    <row r="16" spans="1:16" ht="20.399999999999999" x14ac:dyDescent="0.3">
      <c r="A16" s="10" t="s">
        <v>5</v>
      </c>
      <c r="B16" s="3" t="s">
        <v>53</v>
      </c>
      <c r="C16" s="12" t="str">
        <f t="shared" si="8"/>
        <v>51981214282</v>
      </c>
      <c r="D16" s="3" t="s">
        <v>54</v>
      </c>
      <c r="E16" s="4" t="str">
        <f t="shared" si="0"/>
        <v>2018</v>
      </c>
      <c r="F16" s="4" t="str">
        <f t="shared" si="1"/>
        <v>11</v>
      </c>
      <c r="G16" s="4" t="str">
        <f t="shared" si="2"/>
        <v>05</v>
      </c>
      <c r="H16" s="7" t="str">
        <f t="shared" si="3"/>
        <v>05/11/2018</v>
      </c>
      <c r="I16" s="3" t="s">
        <v>55</v>
      </c>
      <c r="J16" s="4" t="str">
        <f t="shared" si="4"/>
        <v>10</v>
      </c>
      <c r="K16" s="4" t="str">
        <f t="shared" si="5"/>
        <v>52</v>
      </c>
      <c r="L16" s="4" t="str">
        <f t="shared" si="6"/>
        <v>26</v>
      </c>
      <c r="M16" s="7" t="str">
        <f t="shared" si="7"/>
        <v>10:52:26</v>
      </c>
      <c r="N16" s="3" t="s">
        <v>56</v>
      </c>
      <c r="O16" s="3" t="s">
        <v>10</v>
      </c>
      <c r="P16" s="3" t="s">
        <v>22</v>
      </c>
    </row>
    <row r="17" spans="1:16" ht="20.399999999999999" x14ac:dyDescent="0.3">
      <c r="A17" s="10" t="s">
        <v>5</v>
      </c>
      <c r="B17" s="3" t="s">
        <v>53</v>
      </c>
      <c r="C17" s="12" t="str">
        <f t="shared" si="8"/>
        <v>51981214282</v>
      </c>
      <c r="D17" s="3" t="s">
        <v>54</v>
      </c>
      <c r="E17" s="4" t="str">
        <f t="shared" si="0"/>
        <v>2018</v>
      </c>
      <c r="F17" s="4" t="str">
        <f t="shared" si="1"/>
        <v>11</v>
      </c>
      <c r="G17" s="4" t="str">
        <f t="shared" si="2"/>
        <v>05</v>
      </c>
      <c r="H17" s="7" t="str">
        <f t="shared" si="3"/>
        <v>05/11/2018</v>
      </c>
      <c r="I17" s="3" t="s">
        <v>57</v>
      </c>
      <c r="J17" s="4" t="str">
        <f t="shared" si="4"/>
        <v>13</v>
      </c>
      <c r="K17" s="4" t="str">
        <f t="shared" si="5"/>
        <v>57</v>
      </c>
      <c r="L17" s="4" t="str">
        <f t="shared" si="6"/>
        <v>12</v>
      </c>
      <c r="M17" s="7" t="str">
        <f t="shared" si="7"/>
        <v>13:57:12</v>
      </c>
      <c r="N17" s="3" t="s">
        <v>58</v>
      </c>
      <c r="O17" s="3" t="s">
        <v>10</v>
      </c>
      <c r="P17" s="3" t="s">
        <v>22</v>
      </c>
    </row>
    <row r="18" spans="1:16" ht="20.399999999999999" x14ac:dyDescent="0.3">
      <c r="A18" s="10" t="s">
        <v>5</v>
      </c>
      <c r="B18" s="3" t="s">
        <v>59</v>
      </c>
      <c r="C18" s="12" t="str">
        <f t="shared" si="8"/>
        <v>51987271445</v>
      </c>
      <c r="D18" s="3" t="s">
        <v>60</v>
      </c>
      <c r="E18" s="4" t="str">
        <f t="shared" si="0"/>
        <v>2018</v>
      </c>
      <c r="F18" s="4" t="str">
        <f t="shared" si="1"/>
        <v>11</v>
      </c>
      <c r="G18" s="4" t="str">
        <f t="shared" si="2"/>
        <v>29</v>
      </c>
      <c r="H18" s="7" t="str">
        <f t="shared" si="3"/>
        <v>29/11/2018</v>
      </c>
      <c r="I18" s="3" t="s">
        <v>61</v>
      </c>
      <c r="J18" s="4" t="str">
        <f t="shared" si="4"/>
        <v>10</v>
      </c>
      <c r="K18" s="4" t="str">
        <f t="shared" si="5"/>
        <v>49</v>
      </c>
      <c r="L18" s="4" t="str">
        <f t="shared" si="6"/>
        <v>11</v>
      </c>
      <c r="M18" s="7" t="str">
        <f t="shared" si="7"/>
        <v>10:49:11</v>
      </c>
      <c r="N18" s="3" t="s">
        <v>62</v>
      </c>
      <c r="O18" s="3" t="s">
        <v>10</v>
      </c>
      <c r="P18" s="3" t="s">
        <v>22</v>
      </c>
    </row>
    <row r="19" spans="1:16" ht="20.399999999999999" x14ac:dyDescent="0.3">
      <c r="A19" s="10" t="s">
        <v>5</v>
      </c>
      <c r="B19" s="3" t="s">
        <v>63</v>
      </c>
      <c r="C19" s="12" t="str">
        <f t="shared" si="8"/>
        <v>51990969931</v>
      </c>
      <c r="D19" s="3" t="s">
        <v>64</v>
      </c>
      <c r="E19" s="4" t="str">
        <f t="shared" si="0"/>
        <v>2018</v>
      </c>
      <c r="F19" s="4" t="str">
        <f t="shared" si="1"/>
        <v>12</v>
      </c>
      <c r="G19" s="4" t="str">
        <f t="shared" si="2"/>
        <v>27</v>
      </c>
      <c r="H19" s="7" t="str">
        <f t="shared" si="3"/>
        <v>27/12/2018</v>
      </c>
      <c r="I19" s="3" t="s">
        <v>65</v>
      </c>
      <c r="J19" s="4" t="str">
        <f t="shared" si="4"/>
        <v>14</v>
      </c>
      <c r="K19" s="4" t="str">
        <f t="shared" si="5"/>
        <v>33</v>
      </c>
      <c r="L19" s="4" t="str">
        <f t="shared" si="6"/>
        <v>23</v>
      </c>
      <c r="M19" s="7" t="str">
        <f t="shared" si="7"/>
        <v>14:33:23</v>
      </c>
      <c r="N19" s="3" t="s">
        <v>66</v>
      </c>
      <c r="O19" s="3" t="s">
        <v>10</v>
      </c>
      <c r="P19" s="3" t="s">
        <v>22</v>
      </c>
    </row>
    <row r="20" spans="1:16" ht="20.399999999999999" x14ac:dyDescent="0.3">
      <c r="A20" s="10" t="s">
        <v>5</v>
      </c>
      <c r="B20" s="3" t="s">
        <v>67</v>
      </c>
      <c r="C20" s="12" t="str">
        <f t="shared" si="8"/>
        <v>51991474835</v>
      </c>
      <c r="D20" s="3" t="s">
        <v>36</v>
      </c>
      <c r="E20" s="4" t="str">
        <f t="shared" si="0"/>
        <v>2018</v>
      </c>
      <c r="F20" s="4" t="str">
        <f t="shared" si="1"/>
        <v>10</v>
      </c>
      <c r="G20" s="4" t="str">
        <f t="shared" si="2"/>
        <v>23</v>
      </c>
      <c r="H20" s="7" t="str">
        <f t="shared" si="3"/>
        <v>23/10/2018</v>
      </c>
      <c r="I20" s="3" t="s">
        <v>68</v>
      </c>
      <c r="J20" s="4" t="str">
        <f t="shared" si="4"/>
        <v>11</v>
      </c>
      <c r="K20" s="4" t="str">
        <f t="shared" si="5"/>
        <v>02</v>
      </c>
      <c r="L20" s="4" t="str">
        <f t="shared" si="6"/>
        <v>44</v>
      </c>
      <c r="M20" s="7" t="str">
        <f t="shared" si="7"/>
        <v>11:02:44</v>
      </c>
      <c r="N20" s="3" t="s">
        <v>69</v>
      </c>
      <c r="O20" s="3" t="s">
        <v>10</v>
      </c>
      <c r="P20" s="3" t="s">
        <v>22</v>
      </c>
    </row>
    <row r="21" spans="1:16" ht="15.75" customHeight="1" x14ac:dyDescent="0.3">
      <c r="A21" s="10" t="s">
        <v>5</v>
      </c>
      <c r="B21" s="3" t="s">
        <v>67</v>
      </c>
      <c r="C21" s="12" t="str">
        <f t="shared" si="8"/>
        <v>51991474835</v>
      </c>
      <c r="D21" s="3" t="s">
        <v>19</v>
      </c>
      <c r="E21" s="4" t="str">
        <f t="shared" si="0"/>
        <v>2018</v>
      </c>
      <c r="F21" s="4" t="str">
        <f t="shared" si="1"/>
        <v>12</v>
      </c>
      <c r="G21" s="4" t="str">
        <f t="shared" si="2"/>
        <v>26</v>
      </c>
      <c r="H21" s="7" t="str">
        <f t="shared" si="3"/>
        <v>26/12/2018</v>
      </c>
      <c r="I21" s="3" t="s">
        <v>70</v>
      </c>
      <c r="J21" s="4" t="str">
        <f t="shared" si="4"/>
        <v>12</v>
      </c>
      <c r="K21" s="4" t="str">
        <f t="shared" si="5"/>
        <v>17</v>
      </c>
      <c r="L21" s="4" t="str">
        <f t="shared" si="6"/>
        <v>34</v>
      </c>
      <c r="M21" s="7" t="str">
        <f t="shared" si="7"/>
        <v>12:17:34</v>
      </c>
      <c r="N21" s="3" t="s">
        <v>71</v>
      </c>
      <c r="O21" s="3" t="s">
        <v>10</v>
      </c>
      <c r="P21" s="3" t="s">
        <v>22</v>
      </c>
    </row>
    <row r="22" spans="1:16" ht="15.75" customHeight="1" x14ac:dyDescent="0.3">
      <c r="A22" s="10" t="s">
        <v>5</v>
      </c>
      <c r="B22" s="3" t="s">
        <v>67</v>
      </c>
      <c r="C22" s="12" t="str">
        <f t="shared" si="8"/>
        <v>51991474835</v>
      </c>
      <c r="D22" s="3" t="s">
        <v>72</v>
      </c>
      <c r="E22" s="4" t="str">
        <f t="shared" si="0"/>
        <v>2018</v>
      </c>
      <c r="F22" s="4" t="str">
        <f t="shared" si="1"/>
        <v>10</v>
      </c>
      <c r="G22" s="4" t="str">
        <f t="shared" si="2"/>
        <v>29</v>
      </c>
      <c r="H22" s="7" t="str">
        <f t="shared" si="3"/>
        <v>29/10/2018</v>
      </c>
      <c r="I22" s="3" t="s">
        <v>73</v>
      </c>
      <c r="J22" s="4" t="str">
        <f t="shared" si="4"/>
        <v>12</v>
      </c>
      <c r="K22" s="4" t="str">
        <f t="shared" si="5"/>
        <v>28</v>
      </c>
      <c r="L22" s="4" t="str">
        <f t="shared" si="6"/>
        <v>23</v>
      </c>
      <c r="M22" s="7" t="str">
        <f t="shared" si="7"/>
        <v>12:28:23</v>
      </c>
      <c r="N22" s="3" t="s">
        <v>74</v>
      </c>
      <c r="O22" s="3" t="s">
        <v>10</v>
      </c>
      <c r="P22" s="3" t="s">
        <v>22</v>
      </c>
    </row>
    <row r="23" spans="1:16" ht="15.75" customHeight="1" x14ac:dyDescent="0.3">
      <c r="A23" s="10" t="s">
        <v>5</v>
      </c>
      <c r="B23" s="3" t="s">
        <v>67</v>
      </c>
      <c r="C23" s="12" t="str">
        <f t="shared" si="8"/>
        <v>51991474835</v>
      </c>
      <c r="D23" s="3" t="s">
        <v>75</v>
      </c>
      <c r="E23" s="4" t="str">
        <f t="shared" si="0"/>
        <v>2018</v>
      </c>
      <c r="F23" s="4" t="str">
        <f t="shared" si="1"/>
        <v>11</v>
      </c>
      <c r="G23" s="4" t="str">
        <f t="shared" si="2"/>
        <v>26</v>
      </c>
      <c r="H23" s="7" t="str">
        <f t="shared" si="3"/>
        <v>26/11/2018</v>
      </c>
      <c r="I23" s="3" t="s">
        <v>76</v>
      </c>
      <c r="J23" s="4" t="str">
        <f t="shared" si="4"/>
        <v>13</v>
      </c>
      <c r="K23" s="4" t="str">
        <f t="shared" si="5"/>
        <v>38</v>
      </c>
      <c r="L23" s="4" t="str">
        <f t="shared" si="6"/>
        <v>46</v>
      </c>
      <c r="M23" s="7" t="str">
        <f t="shared" si="7"/>
        <v>13:38:46</v>
      </c>
      <c r="N23" s="3" t="s">
        <v>77</v>
      </c>
      <c r="O23" s="3" t="s">
        <v>10</v>
      </c>
      <c r="P23" s="3" t="s">
        <v>22</v>
      </c>
    </row>
    <row r="24" spans="1:16" ht="15.75" customHeight="1" x14ac:dyDescent="0.3">
      <c r="A24" s="10" t="s">
        <v>5</v>
      </c>
      <c r="B24" s="3" t="s">
        <v>67</v>
      </c>
      <c r="C24" s="12" t="str">
        <f t="shared" si="8"/>
        <v>51991474835</v>
      </c>
      <c r="D24" s="3" t="s">
        <v>75</v>
      </c>
      <c r="E24" s="4" t="str">
        <f t="shared" si="0"/>
        <v>2018</v>
      </c>
      <c r="F24" s="4" t="str">
        <f t="shared" si="1"/>
        <v>11</v>
      </c>
      <c r="G24" s="4" t="str">
        <f t="shared" si="2"/>
        <v>26</v>
      </c>
      <c r="H24" s="7" t="str">
        <f t="shared" si="3"/>
        <v>26/11/2018</v>
      </c>
      <c r="I24" s="3" t="s">
        <v>78</v>
      </c>
      <c r="J24" s="4" t="str">
        <f t="shared" si="4"/>
        <v>13</v>
      </c>
      <c r="K24" s="4" t="str">
        <f t="shared" si="5"/>
        <v>49</v>
      </c>
      <c r="L24" s="4" t="str">
        <f t="shared" si="6"/>
        <v>04</v>
      </c>
      <c r="M24" s="7" t="str">
        <f t="shared" si="7"/>
        <v>13:49:04</v>
      </c>
      <c r="N24" s="3" t="s">
        <v>79</v>
      </c>
      <c r="O24" s="3" t="s">
        <v>10</v>
      </c>
      <c r="P24" s="3" t="s">
        <v>22</v>
      </c>
    </row>
    <row r="25" spans="1:16" ht="15.75" customHeight="1" x14ac:dyDescent="0.3">
      <c r="A25" s="10" t="s">
        <v>5</v>
      </c>
      <c r="B25" s="3" t="s">
        <v>67</v>
      </c>
      <c r="C25" s="12" t="str">
        <f t="shared" si="8"/>
        <v>51991474835</v>
      </c>
      <c r="D25" s="3" t="s">
        <v>75</v>
      </c>
      <c r="E25" s="4" t="str">
        <f t="shared" si="0"/>
        <v>2018</v>
      </c>
      <c r="F25" s="4" t="str">
        <f t="shared" si="1"/>
        <v>11</v>
      </c>
      <c r="G25" s="4" t="str">
        <f t="shared" si="2"/>
        <v>26</v>
      </c>
      <c r="H25" s="7" t="str">
        <f t="shared" si="3"/>
        <v>26/11/2018</v>
      </c>
      <c r="I25" s="3" t="s">
        <v>80</v>
      </c>
      <c r="J25" s="4" t="str">
        <f t="shared" si="4"/>
        <v>13</v>
      </c>
      <c r="K25" s="4" t="str">
        <f t="shared" si="5"/>
        <v>49</v>
      </c>
      <c r="L25" s="4" t="str">
        <f t="shared" si="6"/>
        <v>44</v>
      </c>
      <c r="M25" s="7" t="str">
        <f t="shared" si="7"/>
        <v>13:49:44</v>
      </c>
      <c r="N25" s="3" t="s">
        <v>81</v>
      </c>
      <c r="O25" s="3" t="s">
        <v>10</v>
      </c>
      <c r="P25" s="3" t="s">
        <v>22</v>
      </c>
    </row>
    <row r="26" spans="1:16" ht="15.75" customHeight="1" x14ac:dyDescent="0.3">
      <c r="A26" s="10" t="s">
        <v>5</v>
      </c>
      <c r="B26" s="3" t="s">
        <v>67</v>
      </c>
      <c r="C26" s="12" t="str">
        <f t="shared" si="8"/>
        <v>51991474835</v>
      </c>
      <c r="D26" s="3" t="s">
        <v>19</v>
      </c>
      <c r="E26" s="4" t="str">
        <f t="shared" si="0"/>
        <v>2018</v>
      </c>
      <c r="F26" s="4" t="str">
        <f t="shared" si="1"/>
        <v>12</v>
      </c>
      <c r="G26" s="4" t="str">
        <f t="shared" si="2"/>
        <v>26</v>
      </c>
      <c r="H26" s="7" t="str">
        <f t="shared" si="3"/>
        <v>26/12/2018</v>
      </c>
      <c r="I26" s="3" t="s">
        <v>82</v>
      </c>
      <c r="J26" s="4" t="str">
        <f t="shared" si="4"/>
        <v>14</v>
      </c>
      <c r="K26" s="4" t="str">
        <f t="shared" si="5"/>
        <v>47</v>
      </c>
      <c r="L26" s="4" t="str">
        <f t="shared" si="6"/>
        <v>25</v>
      </c>
      <c r="M26" s="7" t="str">
        <f t="shared" si="7"/>
        <v>14:47:25</v>
      </c>
      <c r="N26" s="3" t="s">
        <v>83</v>
      </c>
      <c r="O26" s="3" t="s">
        <v>10</v>
      </c>
      <c r="P26" s="3" t="s">
        <v>22</v>
      </c>
    </row>
    <row r="27" spans="1:16" ht="15.75" customHeight="1" x14ac:dyDescent="0.3">
      <c r="A27" s="10" t="s">
        <v>5</v>
      </c>
      <c r="B27" s="3" t="s">
        <v>67</v>
      </c>
      <c r="C27" s="12" t="str">
        <f t="shared" si="8"/>
        <v>51991474835</v>
      </c>
      <c r="D27" s="3" t="s">
        <v>72</v>
      </c>
      <c r="E27" s="4" t="str">
        <f t="shared" si="0"/>
        <v>2018</v>
      </c>
      <c r="F27" s="4" t="str">
        <f t="shared" si="1"/>
        <v>10</v>
      </c>
      <c r="G27" s="4" t="str">
        <f t="shared" si="2"/>
        <v>29</v>
      </c>
      <c r="H27" s="7" t="str">
        <f t="shared" si="3"/>
        <v>29/10/2018</v>
      </c>
      <c r="I27" s="3" t="s">
        <v>84</v>
      </c>
      <c r="J27" s="4" t="str">
        <f t="shared" si="4"/>
        <v>16</v>
      </c>
      <c r="K27" s="4" t="str">
        <f t="shared" si="5"/>
        <v>41</v>
      </c>
      <c r="L27" s="4" t="str">
        <f t="shared" si="6"/>
        <v>34</v>
      </c>
      <c r="M27" s="7" t="str">
        <f t="shared" si="7"/>
        <v>16:41:34</v>
      </c>
      <c r="N27" s="3" t="s">
        <v>85</v>
      </c>
      <c r="O27" s="3" t="s">
        <v>10</v>
      </c>
      <c r="P27" s="3" t="s">
        <v>22</v>
      </c>
    </row>
    <row r="28" spans="1:16" ht="15.75" customHeight="1" x14ac:dyDescent="0.3">
      <c r="A28" s="10" t="s">
        <v>5</v>
      </c>
      <c r="B28" s="3" t="s">
        <v>67</v>
      </c>
      <c r="C28" s="12" t="str">
        <f t="shared" si="8"/>
        <v>51991474835</v>
      </c>
      <c r="D28" s="3" t="s">
        <v>72</v>
      </c>
      <c r="E28" s="4" t="str">
        <f t="shared" si="0"/>
        <v>2018</v>
      </c>
      <c r="F28" s="4" t="str">
        <f t="shared" si="1"/>
        <v>10</v>
      </c>
      <c r="G28" s="4" t="str">
        <f t="shared" si="2"/>
        <v>29</v>
      </c>
      <c r="H28" s="7" t="str">
        <f t="shared" si="3"/>
        <v>29/10/2018</v>
      </c>
      <c r="I28" s="3" t="s">
        <v>86</v>
      </c>
      <c r="J28" s="4" t="str">
        <f t="shared" si="4"/>
        <v>17</v>
      </c>
      <c r="K28" s="4" t="str">
        <f t="shared" si="5"/>
        <v>03</v>
      </c>
      <c r="L28" s="4" t="str">
        <f t="shared" si="6"/>
        <v>00</v>
      </c>
      <c r="M28" s="7" t="str">
        <f t="shared" si="7"/>
        <v>17:03:00</v>
      </c>
      <c r="N28" s="3" t="s">
        <v>27</v>
      </c>
      <c r="O28" s="3" t="s">
        <v>10</v>
      </c>
      <c r="P28" s="3" t="s">
        <v>22</v>
      </c>
    </row>
    <row r="29" spans="1:16" ht="15.75" customHeight="1" x14ac:dyDescent="0.3">
      <c r="A29" s="10" t="s">
        <v>5</v>
      </c>
      <c r="B29" s="3" t="s">
        <v>87</v>
      </c>
      <c r="C29" s="12" t="str">
        <f t="shared" si="8"/>
        <v>51998106245</v>
      </c>
      <c r="D29" s="3" t="s">
        <v>88</v>
      </c>
      <c r="E29" s="4" t="str">
        <f t="shared" si="0"/>
        <v>2018</v>
      </c>
      <c r="F29" s="4" t="str">
        <f t="shared" si="1"/>
        <v>11</v>
      </c>
      <c r="G29" s="4" t="str">
        <f t="shared" si="2"/>
        <v>10</v>
      </c>
      <c r="H29" s="7" t="str">
        <f t="shared" si="3"/>
        <v>10/11/2018</v>
      </c>
      <c r="I29" s="3" t="s">
        <v>89</v>
      </c>
      <c r="J29" s="4" t="str">
        <f t="shared" si="4"/>
        <v>07</v>
      </c>
      <c r="K29" s="4" t="str">
        <f t="shared" si="5"/>
        <v>36</v>
      </c>
      <c r="L29" s="4" t="str">
        <f t="shared" si="6"/>
        <v>36</v>
      </c>
      <c r="M29" s="7" t="str">
        <f t="shared" si="7"/>
        <v>07:36:36</v>
      </c>
      <c r="N29" s="3" t="s">
        <v>90</v>
      </c>
      <c r="O29" s="3" t="s">
        <v>10</v>
      </c>
      <c r="P29" s="3" t="s">
        <v>22</v>
      </c>
    </row>
    <row r="30" spans="1:16" ht="15.75" customHeight="1" x14ac:dyDescent="0.3">
      <c r="A30" s="10" t="s">
        <v>5</v>
      </c>
      <c r="B30" s="3" t="s">
        <v>87</v>
      </c>
      <c r="C30" s="12" t="str">
        <f t="shared" si="8"/>
        <v>51998106245</v>
      </c>
      <c r="D30" s="3" t="s">
        <v>88</v>
      </c>
      <c r="E30" s="4" t="str">
        <f t="shared" si="0"/>
        <v>2018</v>
      </c>
      <c r="F30" s="4" t="str">
        <f t="shared" si="1"/>
        <v>11</v>
      </c>
      <c r="G30" s="4" t="str">
        <f t="shared" si="2"/>
        <v>10</v>
      </c>
      <c r="H30" s="7" t="str">
        <f t="shared" si="3"/>
        <v>10/11/2018</v>
      </c>
      <c r="I30" s="3" t="s">
        <v>91</v>
      </c>
      <c r="J30" s="4" t="str">
        <f t="shared" si="4"/>
        <v>07</v>
      </c>
      <c r="K30" s="4" t="str">
        <f t="shared" si="5"/>
        <v>39</v>
      </c>
      <c r="L30" s="4" t="str">
        <f t="shared" si="6"/>
        <v>21</v>
      </c>
      <c r="M30" s="7" t="str">
        <f t="shared" si="7"/>
        <v>07:39:21</v>
      </c>
      <c r="N30" s="3" t="s">
        <v>92</v>
      </c>
      <c r="O30" s="3" t="s">
        <v>10</v>
      </c>
      <c r="P30" s="3" t="s">
        <v>22</v>
      </c>
    </row>
    <row r="31" spans="1:16" ht="15.75" customHeight="1" x14ac:dyDescent="0.3">
      <c r="A31" s="10" t="s">
        <v>5</v>
      </c>
      <c r="B31" s="3" t="s">
        <v>87</v>
      </c>
      <c r="C31" s="12" t="str">
        <f t="shared" si="8"/>
        <v>51998106245</v>
      </c>
      <c r="D31" s="3" t="s">
        <v>93</v>
      </c>
      <c r="E31" s="4" t="str">
        <f t="shared" si="0"/>
        <v>2018</v>
      </c>
      <c r="F31" s="4" t="str">
        <f t="shared" si="1"/>
        <v>11</v>
      </c>
      <c r="G31" s="4" t="str">
        <f t="shared" si="2"/>
        <v>21</v>
      </c>
      <c r="H31" s="7" t="str">
        <f t="shared" si="3"/>
        <v>21/11/2018</v>
      </c>
      <c r="I31" s="3" t="s">
        <v>94</v>
      </c>
      <c r="J31" s="4" t="str">
        <f t="shared" si="4"/>
        <v>08</v>
      </c>
      <c r="K31" s="4" t="str">
        <f t="shared" si="5"/>
        <v>02</v>
      </c>
      <c r="L31" s="4" t="str">
        <f t="shared" si="6"/>
        <v>22</v>
      </c>
      <c r="M31" s="7" t="str">
        <f t="shared" si="7"/>
        <v>08:02:22</v>
      </c>
      <c r="N31" s="3" t="s">
        <v>92</v>
      </c>
      <c r="O31" s="3" t="s">
        <v>10</v>
      </c>
      <c r="P31" s="3" t="s">
        <v>22</v>
      </c>
    </row>
    <row r="32" spans="1:16" ht="15.75" customHeight="1" x14ac:dyDescent="0.3">
      <c r="A32" s="10" t="s">
        <v>5</v>
      </c>
      <c r="B32" s="3" t="s">
        <v>87</v>
      </c>
      <c r="C32" s="12" t="str">
        <f t="shared" si="8"/>
        <v>51998106245</v>
      </c>
      <c r="D32" s="3" t="s">
        <v>95</v>
      </c>
      <c r="E32" s="4" t="str">
        <f t="shared" si="0"/>
        <v>2018</v>
      </c>
      <c r="F32" s="4" t="str">
        <f t="shared" si="1"/>
        <v>11</v>
      </c>
      <c r="G32" s="4" t="str">
        <f t="shared" si="2"/>
        <v>16</v>
      </c>
      <c r="H32" s="7" t="str">
        <f t="shared" si="3"/>
        <v>16/11/2018</v>
      </c>
      <c r="I32" s="3" t="s">
        <v>96</v>
      </c>
      <c r="J32" s="4" t="str">
        <f t="shared" si="4"/>
        <v>08</v>
      </c>
      <c r="K32" s="4" t="str">
        <f t="shared" si="5"/>
        <v>03</v>
      </c>
      <c r="L32" s="4" t="str">
        <f t="shared" si="6"/>
        <v>05</v>
      </c>
      <c r="M32" s="7" t="str">
        <f t="shared" si="7"/>
        <v>08:03:05</v>
      </c>
      <c r="N32" s="3" t="s">
        <v>21</v>
      </c>
      <c r="O32" s="3" t="s">
        <v>10</v>
      </c>
      <c r="P32" s="3" t="s">
        <v>22</v>
      </c>
    </row>
    <row r="33" spans="1:16" ht="15.75" customHeight="1" x14ac:dyDescent="0.3">
      <c r="A33" s="10" t="s">
        <v>5</v>
      </c>
      <c r="B33" s="3" t="s">
        <v>87</v>
      </c>
      <c r="C33" s="12" t="str">
        <f t="shared" si="8"/>
        <v>51998106245</v>
      </c>
      <c r="D33" s="3" t="s">
        <v>95</v>
      </c>
      <c r="E33" s="4" t="str">
        <f t="shared" si="0"/>
        <v>2018</v>
      </c>
      <c r="F33" s="4" t="str">
        <f t="shared" si="1"/>
        <v>11</v>
      </c>
      <c r="G33" s="4" t="str">
        <f t="shared" si="2"/>
        <v>16</v>
      </c>
      <c r="H33" s="7" t="str">
        <f t="shared" si="3"/>
        <v>16/11/2018</v>
      </c>
      <c r="I33" s="3" t="s">
        <v>97</v>
      </c>
      <c r="J33" s="4" t="str">
        <f t="shared" si="4"/>
        <v>08</v>
      </c>
      <c r="K33" s="4" t="str">
        <f t="shared" si="5"/>
        <v>05</v>
      </c>
      <c r="L33" s="4" t="str">
        <f t="shared" si="6"/>
        <v>38</v>
      </c>
      <c r="M33" s="7" t="str">
        <f t="shared" si="7"/>
        <v>08:05:38</v>
      </c>
      <c r="N33" s="3" t="s">
        <v>85</v>
      </c>
      <c r="O33" s="3" t="s">
        <v>10</v>
      </c>
      <c r="P33" s="3" t="s">
        <v>22</v>
      </c>
    </row>
    <row r="34" spans="1:16" ht="15.75" customHeight="1" x14ac:dyDescent="0.3">
      <c r="A34" s="10" t="s">
        <v>5</v>
      </c>
      <c r="B34" s="3" t="s">
        <v>87</v>
      </c>
      <c r="C34" s="12" t="str">
        <f t="shared" si="8"/>
        <v>51998106245</v>
      </c>
      <c r="D34" s="3" t="s">
        <v>98</v>
      </c>
      <c r="E34" s="4" t="str">
        <f t="shared" si="0"/>
        <v>2018</v>
      </c>
      <c r="F34" s="4" t="str">
        <f t="shared" si="1"/>
        <v>11</v>
      </c>
      <c r="G34" s="4" t="str">
        <f t="shared" si="2"/>
        <v>20</v>
      </c>
      <c r="H34" s="7" t="str">
        <f t="shared" si="3"/>
        <v>20/11/2018</v>
      </c>
      <c r="I34" s="3" t="s">
        <v>99</v>
      </c>
      <c r="J34" s="4" t="str">
        <f t="shared" si="4"/>
        <v>08</v>
      </c>
      <c r="K34" s="4" t="str">
        <f t="shared" si="5"/>
        <v>06</v>
      </c>
      <c r="L34" s="4" t="str">
        <f t="shared" si="6"/>
        <v>11</v>
      </c>
      <c r="M34" s="7" t="str">
        <f t="shared" si="7"/>
        <v>08:06:11</v>
      </c>
      <c r="N34" s="3" t="s">
        <v>66</v>
      </c>
      <c r="O34" s="3" t="s">
        <v>10</v>
      </c>
      <c r="P34" s="3" t="s">
        <v>22</v>
      </c>
    </row>
    <row r="35" spans="1:16" ht="15.75" customHeight="1" x14ac:dyDescent="0.3">
      <c r="A35" s="10" t="s">
        <v>5</v>
      </c>
      <c r="B35" s="3" t="s">
        <v>87</v>
      </c>
      <c r="C35" s="12" t="str">
        <f t="shared" si="8"/>
        <v>51998106245</v>
      </c>
      <c r="D35" s="3" t="s">
        <v>95</v>
      </c>
      <c r="E35" s="4" t="str">
        <f t="shared" si="0"/>
        <v>2018</v>
      </c>
      <c r="F35" s="4" t="str">
        <f t="shared" si="1"/>
        <v>11</v>
      </c>
      <c r="G35" s="4" t="str">
        <f t="shared" si="2"/>
        <v>16</v>
      </c>
      <c r="H35" s="7" t="str">
        <f t="shared" si="3"/>
        <v>16/11/2018</v>
      </c>
      <c r="I35" s="3" t="s">
        <v>100</v>
      </c>
      <c r="J35" s="4" t="str">
        <f t="shared" si="4"/>
        <v>08</v>
      </c>
      <c r="K35" s="4" t="str">
        <f t="shared" si="5"/>
        <v>07</v>
      </c>
      <c r="L35" s="4" t="str">
        <f t="shared" si="6"/>
        <v>47</v>
      </c>
      <c r="M35" s="7" t="str">
        <f t="shared" si="7"/>
        <v>08:07:47</v>
      </c>
      <c r="N35" s="3" t="s">
        <v>101</v>
      </c>
      <c r="O35" s="3" t="s">
        <v>10</v>
      </c>
      <c r="P35" s="3" t="s">
        <v>22</v>
      </c>
    </row>
    <row r="36" spans="1:16" ht="15.75" customHeight="1" x14ac:dyDescent="0.3">
      <c r="A36" s="10" t="s">
        <v>5</v>
      </c>
      <c r="B36" s="3" t="s">
        <v>87</v>
      </c>
      <c r="C36" s="12" t="str">
        <f t="shared" si="8"/>
        <v>51998106245</v>
      </c>
      <c r="D36" s="3" t="s">
        <v>102</v>
      </c>
      <c r="E36" s="4" t="str">
        <f t="shared" si="0"/>
        <v>2018</v>
      </c>
      <c r="F36" s="4" t="str">
        <f t="shared" si="1"/>
        <v>11</v>
      </c>
      <c r="G36" s="4" t="str">
        <f t="shared" si="2"/>
        <v>19</v>
      </c>
      <c r="H36" s="7" t="str">
        <f t="shared" si="3"/>
        <v>19/11/2018</v>
      </c>
      <c r="I36" s="3" t="s">
        <v>103</v>
      </c>
      <c r="J36" s="4" t="str">
        <f t="shared" si="4"/>
        <v>08</v>
      </c>
      <c r="K36" s="4" t="str">
        <f t="shared" si="5"/>
        <v>14</v>
      </c>
      <c r="L36" s="4" t="str">
        <f t="shared" si="6"/>
        <v>39</v>
      </c>
      <c r="M36" s="7" t="str">
        <f t="shared" si="7"/>
        <v>08:14:39</v>
      </c>
      <c r="N36" s="3" t="s">
        <v>104</v>
      </c>
      <c r="O36" s="3" t="s">
        <v>10</v>
      </c>
      <c r="P36" s="3" t="s">
        <v>22</v>
      </c>
    </row>
    <row r="37" spans="1:16" ht="15.75" customHeight="1" x14ac:dyDescent="0.3">
      <c r="A37" s="10" t="s">
        <v>5</v>
      </c>
      <c r="B37" s="3" t="s">
        <v>87</v>
      </c>
      <c r="C37" s="12" t="str">
        <f t="shared" si="8"/>
        <v>51998106245</v>
      </c>
      <c r="D37" s="3" t="s">
        <v>102</v>
      </c>
      <c r="E37" s="4" t="str">
        <f t="shared" si="0"/>
        <v>2018</v>
      </c>
      <c r="F37" s="4" t="str">
        <f t="shared" si="1"/>
        <v>11</v>
      </c>
      <c r="G37" s="4" t="str">
        <f t="shared" si="2"/>
        <v>19</v>
      </c>
      <c r="H37" s="7" t="str">
        <f t="shared" si="3"/>
        <v>19/11/2018</v>
      </c>
      <c r="I37" s="3" t="s">
        <v>105</v>
      </c>
      <c r="J37" s="4" t="str">
        <f t="shared" si="4"/>
        <v>08</v>
      </c>
      <c r="K37" s="4" t="str">
        <f t="shared" si="5"/>
        <v>24</v>
      </c>
      <c r="L37" s="4" t="str">
        <f t="shared" si="6"/>
        <v>55</v>
      </c>
      <c r="M37" s="7" t="str">
        <f t="shared" si="7"/>
        <v>08:24:55</v>
      </c>
      <c r="N37" s="3" t="s">
        <v>106</v>
      </c>
      <c r="O37" s="3" t="s">
        <v>10</v>
      </c>
      <c r="P37" s="3" t="s">
        <v>22</v>
      </c>
    </row>
    <row r="38" spans="1:16" ht="15.75" customHeight="1" x14ac:dyDescent="0.3">
      <c r="A38" s="10" t="s">
        <v>5</v>
      </c>
      <c r="B38" s="3" t="s">
        <v>87</v>
      </c>
      <c r="C38" s="12" t="str">
        <f t="shared" si="8"/>
        <v>51998106245</v>
      </c>
      <c r="D38" s="3" t="s">
        <v>102</v>
      </c>
      <c r="E38" s="4" t="str">
        <f t="shared" si="0"/>
        <v>2018</v>
      </c>
      <c r="F38" s="4" t="str">
        <f t="shared" si="1"/>
        <v>11</v>
      </c>
      <c r="G38" s="4" t="str">
        <f t="shared" si="2"/>
        <v>19</v>
      </c>
      <c r="H38" s="7" t="str">
        <f t="shared" si="3"/>
        <v>19/11/2018</v>
      </c>
      <c r="I38" s="3" t="s">
        <v>107</v>
      </c>
      <c r="J38" s="4" t="str">
        <f t="shared" si="4"/>
        <v>08</v>
      </c>
      <c r="K38" s="4" t="str">
        <f t="shared" si="5"/>
        <v>25</v>
      </c>
      <c r="L38" s="4" t="str">
        <f t="shared" si="6"/>
        <v>15</v>
      </c>
      <c r="M38" s="7" t="str">
        <f t="shared" si="7"/>
        <v>08:25:15</v>
      </c>
      <c r="N38" s="3" t="s">
        <v>66</v>
      </c>
      <c r="O38" s="3" t="s">
        <v>10</v>
      </c>
      <c r="P38" s="3" t="s">
        <v>22</v>
      </c>
    </row>
    <row r="39" spans="1:16" ht="15.75" customHeight="1" x14ac:dyDescent="0.3">
      <c r="A39" s="10" t="s">
        <v>5</v>
      </c>
      <c r="B39" s="3" t="s">
        <v>87</v>
      </c>
      <c r="C39" s="12" t="str">
        <f t="shared" si="8"/>
        <v>51998106245</v>
      </c>
      <c r="D39" s="3" t="s">
        <v>108</v>
      </c>
      <c r="E39" s="4" t="str">
        <f t="shared" si="0"/>
        <v>2018</v>
      </c>
      <c r="F39" s="4" t="str">
        <f t="shared" si="1"/>
        <v>11</v>
      </c>
      <c r="G39" s="4" t="str">
        <f t="shared" si="2"/>
        <v>15</v>
      </c>
      <c r="H39" s="7" t="str">
        <f t="shared" si="3"/>
        <v>15/11/2018</v>
      </c>
      <c r="I39" s="3" t="s">
        <v>109</v>
      </c>
      <c r="J39" s="4" t="str">
        <f t="shared" si="4"/>
        <v>08</v>
      </c>
      <c r="K39" s="4" t="str">
        <f t="shared" si="5"/>
        <v>28</v>
      </c>
      <c r="L39" s="4" t="str">
        <f t="shared" si="6"/>
        <v>38</v>
      </c>
      <c r="M39" s="7" t="str">
        <f t="shared" si="7"/>
        <v>08:28:38</v>
      </c>
      <c r="N39" s="3" t="s">
        <v>101</v>
      </c>
      <c r="O39" s="3" t="s">
        <v>10</v>
      </c>
      <c r="P39" s="3" t="s">
        <v>22</v>
      </c>
    </row>
    <row r="40" spans="1:16" ht="15.75" customHeight="1" x14ac:dyDescent="0.3">
      <c r="A40" s="10" t="s">
        <v>5</v>
      </c>
      <c r="B40" s="3" t="s">
        <v>87</v>
      </c>
      <c r="C40" s="12" t="str">
        <f t="shared" ref="C40:C71" si="9">51&amp;(TEXT(RIGHT(B40,9),"000000000"))</f>
        <v>51998106245</v>
      </c>
      <c r="D40" s="3" t="s">
        <v>108</v>
      </c>
      <c r="E40" s="4" t="str">
        <f t="shared" si="0"/>
        <v>2018</v>
      </c>
      <c r="F40" s="4" t="str">
        <f t="shared" si="1"/>
        <v>11</v>
      </c>
      <c r="G40" s="4" t="str">
        <f t="shared" si="2"/>
        <v>15</v>
      </c>
      <c r="H40" s="7" t="str">
        <f t="shared" si="3"/>
        <v>15/11/2018</v>
      </c>
      <c r="I40" s="3" t="s">
        <v>110</v>
      </c>
      <c r="J40" s="4" t="str">
        <f t="shared" si="4"/>
        <v>08</v>
      </c>
      <c r="K40" s="4" t="str">
        <f t="shared" si="5"/>
        <v>28</v>
      </c>
      <c r="L40" s="4" t="str">
        <f t="shared" si="6"/>
        <v>54</v>
      </c>
      <c r="M40" s="7" t="str">
        <f t="shared" si="7"/>
        <v>08:28:54</v>
      </c>
      <c r="N40" s="3" t="s">
        <v>111</v>
      </c>
      <c r="O40" s="3" t="s">
        <v>10</v>
      </c>
      <c r="P40" s="3" t="s">
        <v>22</v>
      </c>
    </row>
    <row r="41" spans="1:16" ht="15.75" customHeight="1" x14ac:dyDescent="0.3">
      <c r="A41" s="10" t="s">
        <v>5</v>
      </c>
      <c r="B41" s="3" t="s">
        <v>87</v>
      </c>
      <c r="C41" s="12" t="str">
        <f t="shared" si="9"/>
        <v>51998106245</v>
      </c>
      <c r="D41" s="3" t="s">
        <v>108</v>
      </c>
      <c r="E41" s="4" t="str">
        <f t="shared" si="0"/>
        <v>2018</v>
      </c>
      <c r="F41" s="4" t="str">
        <f t="shared" si="1"/>
        <v>11</v>
      </c>
      <c r="G41" s="4" t="str">
        <f t="shared" si="2"/>
        <v>15</v>
      </c>
      <c r="H41" s="7" t="str">
        <f t="shared" si="3"/>
        <v>15/11/2018</v>
      </c>
      <c r="I41" s="3" t="s">
        <v>112</v>
      </c>
      <c r="J41" s="4" t="str">
        <f t="shared" si="4"/>
        <v>08</v>
      </c>
      <c r="K41" s="4" t="str">
        <f t="shared" si="5"/>
        <v>31</v>
      </c>
      <c r="L41" s="4" t="str">
        <f t="shared" si="6"/>
        <v>09</v>
      </c>
      <c r="M41" s="7" t="str">
        <f t="shared" si="7"/>
        <v>08:31:09</v>
      </c>
      <c r="N41" s="3" t="s">
        <v>101</v>
      </c>
      <c r="O41" s="3" t="s">
        <v>10</v>
      </c>
      <c r="P41" s="3" t="s">
        <v>22</v>
      </c>
    </row>
    <row r="42" spans="1:16" ht="15.75" customHeight="1" x14ac:dyDescent="0.3">
      <c r="A42" s="10" t="s">
        <v>5</v>
      </c>
      <c r="B42" s="3" t="s">
        <v>87</v>
      </c>
      <c r="C42" s="12" t="str">
        <f t="shared" si="9"/>
        <v>51998106245</v>
      </c>
      <c r="D42" s="3" t="s">
        <v>102</v>
      </c>
      <c r="E42" s="4" t="str">
        <f t="shared" si="0"/>
        <v>2018</v>
      </c>
      <c r="F42" s="4" t="str">
        <f t="shared" si="1"/>
        <v>11</v>
      </c>
      <c r="G42" s="4" t="str">
        <f t="shared" si="2"/>
        <v>19</v>
      </c>
      <c r="H42" s="7" t="str">
        <f t="shared" si="3"/>
        <v>19/11/2018</v>
      </c>
      <c r="I42" s="3" t="s">
        <v>113</v>
      </c>
      <c r="J42" s="4" t="str">
        <f t="shared" si="4"/>
        <v>08</v>
      </c>
      <c r="K42" s="4" t="str">
        <f t="shared" si="5"/>
        <v>31</v>
      </c>
      <c r="L42" s="4" t="str">
        <f t="shared" si="6"/>
        <v>58</v>
      </c>
      <c r="M42" s="7" t="str">
        <f t="shared" si="7"/>
        <v>08:31:58</v>
      </c>
      <c r="N42" s="3" t="s">
        <v>114</v>
      </c>
      <c r="O42" s="3" t="s">
        <v>10</v>
      </c>
      <c r="P42" s="3" t="s">
        <v>22</v>
      </c>
    </row>
    <row r="43" spans="1:16" ht="15.75" customHeight="1" x14ac:dyDescent="0.3">
      <c r="A43" s="10" t="s">
        <v>5</v>
      </c>
      <c r="B43" s="3" t="s">
        <v>87</v>
      </c>
      <c r="C43" s="12" t="str">
        <f t="shared" si="9"/>
        <v>51998106245</v>
      </c>
      <c r="D43" s="3" t="s">
        <v>115</v>
      </c>
      <c r="E43" s="4" t="str">
        <f t="shared" si="0"/>
        <v>2018</v>
      </c>
      <c r="F43" s="4" t="str">
        <f t="shared" si="1"/>
        <v>12</v>
      </c>
      <c r="G43" s="4" t="str">
        <f t="shared" si="2"/>
        <v>12</v>
      </c>
      <c r="H43" s="7" t="str">
        <f t="shared" si="3"/>
        <v>12/12/2018</v>
      </c>
      <c r="I43" s="3" t="s">
        <v>116</v>
      </c>
      <c r="J43" s="4" t="str">
        <f t="shared" si="4"/>
        <v>08</v>
      </c>
      <c r="K43" s="4" t="str">
        <f t="shared" si="5"/>
        <v>57</v>
      </c>
      <c r="L43" s="4" t="str">
        <f t="shared" si="6"/>
        <v>11</v>
      </c>
      <c r="M43" s="7" t="str">
        <f t="shared" si="7"/>
        <v>08:57:11</v>
      </c>
      <c r="N43" s="3" t="s">
        <v>66</v>
      </c>
      <c r="O43" s="3" t="s">
        <v>10</v>
      </c>
      <c r="P43" s="3" t="s">
        <v>22</v>
      </c>
    </row>
    <row r="44" spans="1:16" ht="15.75" customHeight="1" x14ac:dyDescent="0.3">
      <c r="A44" s="10" t="s">
        <v>5</v>
      </c>
      <c r="B44" s="3" t="s">
        <v>87</v>
      </c>
      <c r="C44" s="12" t="str">
        <f t="shared" si="9"/>
        <v>51998106245</v>
      </c>
      <c r="D44" s="3" t="s">
        <v>117</v>
      </c>
      <c r="E44" s="4" t="str">
        <f t="shared" si="0"/>
        <v>2018</v>
      </c>
      <c r="F44" s="4" t="str">
        <f t="shared" si="1"/>
        <v>11</v>
      </c>
      <c r="G44" s="4" t="str">
        <f t="shared" si="2"/>
        <v>30</v>
      </c>
      <c r="H44" s="7" t="str">
        <f t="shared" si="3"/>
        <v>30/11/2018</v>
      </c>
      <c r="I44" s="3" t="s">
        <v>118</v>
      </c>
      <c r="J44" s="4" t="str">
        <f t="shared" si="4"/>
        <v>08</v>
      </c>
      <c r="K44" s="4" t="str">
        <f t="shared" si="5"/>
        <v>59</v>
      </c>
      <c r="L44" s="4" t="str">
        <f t="shared" si="6"/>
        <v>49</v>
      </c>
      <c r="M44" s="7" t="str">
        <f t="shared" si="7"/>
        <v>08:59:49</v>
      </c>
      <c r="N44" s="3" t="s">
        <v>66</v>
      </c>
      <c r="O44" s="3" t="s">
        <v>10</v>
      </c>
      <c r="P44" s="3" t="s">
        <v>22</v>
      </c>
    </row>
    <row r="45" spans="1:16" ht="15.75" customHeight="1" x14ac:dyDescent="0.3">
      <c r="A45" s="10" t="s">
        <v>5</v>
      </c>
      <c r="B45" s="3" t="s">
        <v>87</v>
      </c>
      <c r="C45" s="12" t="str">
        <f t="shared" si="9"/>
        <v>51998106245</v>
      </c>
      <c r="D45" s="3" t="s">
        <v>102</v>
      </c>
      <c r="E45" s="4" t="str">
        <f t="shared" si="0"/>
        <v>2018</v>
      </c>
      <c r="F45" s="4" t="str">
        <f t="shared" si="1"/>
        <v>11</v>
      </c>
      <c r="G45" s="4" t="str">
        <f t="shared" si="2"/>
        <v>19</v>
      </c>
      <c r="H45" s="7" t="str">
        <f t="shared" si="3"/>
        <v>19/11/2018</v>
      </c>
      <c r="I45" s="3" t="s">
        <v>119</v>
      </c>
      <c r="J45" s="4" t="str">
        <f t="shared" si="4"/>
        <v>09</v>
      </c>
      <c r="K45" s="4" t="str">
        <f t="shared" si="5"/>
        <v>09</v>
      </c>
      <c r="L45" s="4" t="str">
        <f t="shared" si="6"/>
        <v>36</v>
      </c>
      <c r="M45" s="7" t="str">
        <f t="shared" si="7"/>
        <v>09:09:36</v>
      </c>
      <c r="N45" s="3" t="s">
        <v>66</v>
      </c>
      <c r="O45" s="3" t="s">
        <v>10</v>
      </c>
      <c r="P45" s="3" t="s">
        <v>22</v>
      </c>
    </row>
    <row r="46" spans="1:16" ht="15.75" customHeight="1" x14ac:dyDescent="0.3">
      <c r="A46" s="10" t="s">
        <v>5</v>
      </c>
      <c r="B46" s="3" t="s">
        <v>87</v>
      </c>
      <c r="C46" s="12" t="str">
        <f t="shared" si="9"/>
        <v>51998106245</v>
      </c>
      <c r="D46" s="3" t="s">
        <v>120</v>
      </c>
      <c r="E46" s="4" t="str">
        <f t="shared" si="0"/>
        <v>2018</v>
      </c>
      <c r="F46" s="4" t="str">
        <f t="shared" si="1"/>
        <v>12</v>
      </c>
      <c r="G46" s="4" t="str">
        <f t="shared" si="2"/>
        <v>21</v>
      </c>
      <c r="H46" s="7" t="str">
        <f t="shared" si="3"/>
        <v>21/12/2018</v>
      </c>
      <c r="I46" s="3" t="s">
        <v>121</v>
      </c>
      <c r="J46" s="4" t="str">
        <f t="shared" si="4"/>
        <v>09</v>
      </c>
      <c r="K46" s="4" t="str">
        <f t="shared" si="5"/>
        <v>15</v>
      </c>
      <c r="L46" s="4" t="str">
        <f t="shared" si="6"/>
        <v>14</v>
      </c>
      <c r="M46" s="7" t="str">
        <f t="shared" si="7"/>
        <v>09:15:14</v>
      </c>
      <c r="N46" s="3" t="s">
        <v>111</v>
      </c>
      <c r="O46" s="3" t="s">
        <v>10</v>
      </c>
      <c r="P46" s="3" t="s">
        <v>22</v>
      </c>
    </row>
    <row r="47" spans="1:16" ht="15.75" customHeight="1" x14ac:dyDescent="0.3">
      <c r="A47" s="10" t="s">
        <v>5</v>
      </c>
      <c r="B47" s="3" t="s">
        <v>87</v>
      </c>
      <c r="C47" s="12" t="str">
        <f t="shared" si="9"/>
        <v>51998106245</v>
      </c>
      <c r="D47" s="3" t="s">
        <v>122</v>
      </c>
      <c r="E47" s="4" t="str">
        <f t="shared" si="0"/>
        <v>2018</v>
      </c>
      <c r="F47" s="4" t="str">
        <f t="shared" si="1"/>
        <v>12</v>
      </c>
      <c r="G47" s="4" t="str">
        <f t="shared" si="2"/>
        <v>06</v>
      </c>
      <c r="H47" s="7" t="str">
        <f t="shared" si="3"/>
        <v>06/12/2018</v>
      </c>
      <c r="I47" s="3" t="s">
        <v>123</v>
      </c>
      <c r="J47" s="4" t="str">
        <f t="shared" si="4"/>
        <v>09</v>
      </c>
      <c r="K47" s="4" t="str">
        <f t="shared" si="5"/>
        <v>18</v>
      </c>
      <c r="L47" s="4" t="str">
        <f t="shared" si="6"/>
        <v>55</v>
      </c>
      <c r="M47" s="7" t="str">
        <f t="shared" si="7"/>
        <v>09:18:55</v>
      </c>
      <c r="N47" s="3" t="s">
        <v>111</v>
      </c>
      <c r="O47" s="3" t="s">
        <v>10</v>
      </c>
      <c r="P47" s="3" t="s">
        <v>22</v>
      </c>
    </row>
    <row r="48" spans="1:16" ht="15.75" customHeight="1" x14ac:dyDescent="0.3">
      <c r="A48" s="10" t="s">
        <v>5</v>
      </c>
      <c r="B48" s="3" t="s">
        <v>87</v>
      </c>
      <c r="C48" s="12" t="str">
        <f t="shared" si="9"/>
        <v>51998106245</v>
      </c>
      <c r="D48" s="3" t="s">
        <v>124</v>
      </c>
      <c r="E48" s="4" t="str">
        <f t="shared" si="0"/>
        <v>2018</v>
      </c>
      <c r="F48" s="4" t="str">
        <f t="shared" si="1"/>
        <v>12</v>
      </c>
      <c r="G48" s="4" t="str">
        <f t="shared" si="2"/>
        <v>17</v>
      </c>
      <c r="H48" s="7" t="str">
        <f t="shared" si="3"/>
        <v>17/12/2018</v>
      </c>
      <c r="I48" s="3" t="s">
        <v>125</v>
      </c>
      <c r="J48" s="4" t="str">
        <f t="shared" si="4"/>
        <v>09</v>
      </c>
      <c r="K48" s="4" t="str">
        <f t="shared" si="5"/>
        <v>19</v>
      </c>
      <c r="L48" s="4" t="str">
        <f t="shared" si="6"/>
        <v>07</v>
      </c>
      <c r="M48" s="7" t="str">
        <f t="shared" si="7"/>
        <v>09:19:07</v>
      </c>
      <c r="N48" s="3" t="s">
        <v>111</v>
      </c>
      <c r="O48" s="3" t="s">
        <v>10</v>
      </c>
      <c r="P48" s="3" t="s">
        <v>22</v>
      </c>
    </row>
    <row r="49" spans="1:16" ht="15.75" customHeight="1" x14ac:dyDescent="0.3">
      <c r="A49" s="10" t="s">
        <v>5</v>
      </c>
      <c r="B49" s="3" t="s">
        <v>87</v>
      </c>
      <c r="C49" s="12" t="str">
        <f t="shared" si="9"/>
        <v>51998106245</v>
      </c>
      <c r="D49" s="3" t="s">
        <v>126</v>
      </c>
      <c r="E49" s="4" t="str">
        <f t="shared" si="0"/>
        <v>2018</v>
      </c>
      <c r="F49" s="4" t="str">
        <f t="shared" si="1"/>
        <v>12</v>
      </c>
      <c r="G49" s="4" t="str">
        <f t="shared" si="2"/>
        <v>24</v>
      </c>
      <c r="H49" s="7" t="str">
        <f t="shared" si="3"/>
        <v>24/12/2018</v>
      </c>
      <c r="I49" s="3" t="s">
        <v>127</v>
      </c>
      <c r="J49" s="4" t="str">
        <f t="shared" si="4"/>
        <v>09</v>
      </c>
      <c r="K49" s="4" t="str">
        <f t="shared" si="5"/>
        <v>31</v>
      </c>
      <c r="L49" s="4" t="str">
        <f t="shared" si="6"/>
        <v>56</v>
      </c>
      <c r="M49" s="7" t="str">
        <f t="shared" si="7"/>
        <v>09:31:56</v>
      </c>
      <c r="N49" s="3" t="s">
        <v>92</v>
      </c>
      <c r="O49" s="3" t="s">
        <v>10</v>
      </c>
      <c r="P49" s="3" t="s">
        <v>22</v>
      </c>
    </row>
    <row r="50" spans="1:16" ht="15.75" customHeight="1" x14ac:dyDescent="0.3">
      <c r="A50" s="10" t="s">
        <v>5</v>
      </c>
      <c r="B50" s="3" t="s">
        <v>87</v>
      </c>
      <c r="C50" s="12" t="str">
        <f t="shared" si="9"/>
        <v>51998106245</v>
      </c>
      <c r="D50" s="3" t="s">
        <v>128</v>
      </c>
      <c r="E50" s="4" t="str">
        <f t="shared" si="0"/>
        <v>2018</v>
      </c>
      <c r="F50" s="4" t="str">
        <f t="shared" si="1"/>
        <v>12</v>
      </c>
      <c r="G50" s="4" t="str">
        <f t="shared" si="2"/>
        <v>11</v>
      </c>
      <c r="H50" s="7" t="str">
        <f t="shared" si="3"/>
        <v>11/12/2018</v>
      </c>
      <c r="I50" s="3" t="s">
        <v>129</v>
      </c>
      <c r="J50" s="4" t="str">
        <f t="shared" si="4"/>
        <v>09</v>
      </c>
      <c r="K50" s="4" t="str">
        <f t="shared" si="5"/>
        <v>35</v>
      </c>
      <c r="L50" s="4" t="str">
        <f t="shared" si="6"/>
        <v>06</v>
      </c>
      <c r="M50" s="7" t="str">
        <f t="shared" si="7"/>
        <v>09:35:06</v>
      </c>
      <c r="N50" s="3" t="s">
        <v>111</v>
      </c>
      <c r="O50" s="3" t="s">
        <v>10</v>
      </c>
      <c r="P50" s="3" t="s">
        <v>22</v>
      </c>
    </row>
    <row r="51" spans="1:16" ht="15.75" customHeight="1" x14ac:dyDescent="0.3">
      <c r="A51" s="10" t="s">
        <v>5</v>
      </c>
      <c r="B51" s="3" t="s">
        <v>87</v>
      </c>
      <c r="C51" s="12" t="str">
        <f t="shared" si="9"/>
        <v>51998106245</v>
      </c>
      <c r="D51" s="3" t="s">
        <v>130</v>
      </c>
      <c r="E51" s="4" t="str">
        <f t="shared" si="0"/>
        <v>2018</v>
      </c>
      <c r="F51" s="4" t="str">
        <f t="shared" si="1"/>
        <v>12</v>
      </c>
      <c r="G51" s="4" t="str">
        <f t="shared" si="2"/>
        <v>07</v>
      </c>
      <c r="H51" s="7" t="str">
        <f t="shared" si="3"/>
        <v>07/12/2018</v>
      </c>
      <c r="I51" s="3" t="s">
        <v>131</v>
      </c>
      <c r="J51" s="4" t="str">
        <f t="shared" si="4"/>
        <v>09</v>
      </c>
      <c r="K51" s="4" t="str">
        <f t="shared" si="5"/>
        <v>53</v>
      </c>
      <c r="L51" s="4" t="str">
        <f t="shared" si="6"/>
        <v>49</v>
      </c>
      <c r="M51" s="7" t="str">
        <f t="shared" si="7"/>
        <v>09:53:49</v>
      </c>
      <c r="N51" s="3" t="s">
        <v>111</v>
      </c>
      <c r="O51" s="3" t="s">
        <v>10</v>
      </c>
      <c r="P51" s="3" t="s">
        <v>22</v>
      </c>
    </row>
    <row r="52" spans="1:16" ht="15.75" customHeight="1" x14ac:dyDescent="0.3">
      <c r="A52" s="10" t="s">
        <v>5</v>
      </c>
      <c r="B52" s="3" t="s">
        <v>87</v>
      </c>
      <c r="C52" s="12" t="str">
        <f t="shared" si="9"/>
        <v>51998106245</v>
      </c>
      <c r="D52" s="3" t="s">
        <v>102</v>
      </c>
      <c r="E52" s="4" t="str">
        <f t="shared" si="0"/>
        <v>2018</v>
      </c>
      <c r="F52" s="4" t="str">
        <f t="shared" si="1"/>
        <v>11</v>
      </c>
      <c r="G52" s="4" t="str">
        <f t="shared" si="2"/>
        <v>19</v>
      </c>
      <c r="H52" s="7" t="str">
        <f t="shared" si="3"/>
        <v>19/11/2018</v>
      </c>
      <c r="I52" s="3" t="s">
        <v>132</v>
      </c>
      <c r="J52" s="4" t="str">
        <f t="shared" si="4"/>
        <v>09</v>
      </c>
      <c r="K52" s="4" t="str">
        <f t="shared" si="5"/>
        <v>55</v>
      </c>
      <c r="L52" s="4" t="str">
        <f t="shared" si="6"/>
        <v>04</v>
      </c>
      <c r="M52" s="7" t="str">
        <f t="shared" si="7"/>
        <v>09:55:04</v>
      </c>
      <c r="N52" s="3" t="s">
        <v>66</v>
      </c>
      <c r="O52" s="3" t="s">
        <v>10</v>
      </c>
      <c r="P52" s="3" t="s">
        <v>22</v>
      </c>
    </row>
    <row r="53" spans="1:16" ht="15.75" customHeight="1" x14ac:dyDescent="0.3">
      <c r="A53" s="10" t="s">
        <v>5</v>
      </c>
      <c r="B53" s="3" t="s">
        <v>87</v>
      </c>
      <c r="C53" s="12" t="str">
        <f t="shared" si="9"/>
        <v>51998106245</v>
      </c>
      <c r="D53" s="3" t="s">
        <v>124</v>
      </c>
      <c r="E53" s="4" t="str">
        <f t="shared" si="0"/>
        <v>2018</v>
      </c>
      <c r="F53" s="4" t="str">
        <f t="shared" si="1"/>
        <v>12</v>
      </c>
      <c r="G53" s="4" t="str">
        <f t="shared" si="2"/>
        <v>17</v>
      </c>
      <c r="H53" s="7" t="str">
        <f t="shared" si="3"/>
        <v>17/12/2018</v>
      </c>
      <c r="I53" s="3" t="s">
        <v>133</v>
      </c>
      <c r="J53" s="4" t="str">
        <f t="shared" si="4"/>
        <v>09</v>
      </c>
      <c r="K53" s="4" t="str">
        <f t="shared" si="5"/>
        <v>59</v>
      </c>
      <c r="L53" s="4" t="str">
        <f t="shared" si="6"/>
        <v>05</v>
      </c>
      <c r="M53" s="7" t="str">
        <f t="shared" si="7"/>
        <v>09:59:05</v>
      </c>
      <c r="N53" s="3" t="s">
        <v>111</v>
      </c>
      <c r="O53" s="3" t="s">
        <v>10</v>
      </c>
      <c r="P53" s="3" t="s">
        <v>22</v>
      </c>
    </row>
    <row r="54" spans="1:16" ht="15.75" customHeight="1" x14ac:dyDescent="0.3">
      <c r="A54" s="10" t="s">
        <v>5</v>
      </c>
      <c r="B54" s="3" t="s">
        <v>87</v>
      </c>
      <c r="C54" s="12" t="str">
        <f t="shared" si="9"/>
        <v>51998106245</v>
      </c>
      <c r="D54" s="3" t="s">
        <v>134</v>
      </c>
      <c r="E54" s="4" t="str">
        <f t="shared" si="0"/>
        <v>2018</v>
      </c>
      <c r="F54" s="4" t="str">
        <f t="shared" si="1"/>
        <v>12</v>
      </c>
      <c r="G54" s="4" t="str">
        <f t="shared" si="2"/>
        <v>13</v>
      </c>
      <c r="H54" s="7" t="str">
        <f t="shared" si="3"/>
        <v>13/12/2018</v>
      </c>
      <c r="I54" s="3" t="s">
        <v>135</v>
      </c>
      <c r="J54" s="4" t="str">
        <f t="shared" si="4"/>
        <v>10</v>
      </c>
      <c r="K54" s="4" t="str">
        <f t="shared" si="5"/>
        <v>25</v>
      </c>
      <c r="L54" s="4" t="str">
        <f t="shared" si="6"/>
        <v>32</v>
      </c>
      <c r="M54" s="7" t="str">
        <f t="shared" si="7"/>
        <v>10:25:32</v>
      </c>
      <c r="N54" s="3" t="s">
        <v>111</v>
      </c>
      <c r="O54" s="3" t="s">
        <v>10</v>
      </c>
      <c r="P54" s="3" t="s">
        <v>22</v>
      </c>
    </row>
    <row r="55" spans="1:16" ht="15.75" customHeight="1" x14ac:dyDescent="0.3">
      <c r="A55" s="10" t="s">
        <v>5</v>
      </c>
      <c r="B55" s="3" t="s">
        <v>87</v>
      </c>
      <c r="C55" s="12" t="str">
        <f t="shared" si="9"/>
        <v>51998106245</v>
      </c>
      <c r="D55" s="3" t="s">
        <v>136</v>
      </c>
      <c r="E55" s="4" t="str">
        <f t="shared" si="0"/>
        <v>2018</v>
      </c>
      <c r="F55" s="4" t="str">
        <f t="shared" si="1"/>
        <v>12</v>
      </c>
      <c r="G55" s="4" t="str">
        <f t="shared" si="2"/>
        <v>04</v>
      </c>
      <c r="H55" s="7" t="str">
        <f t="shared" si="3"/>
        <v>04/12/2018</v>
      </c>
      <c r="I55" s="3" t="s">
        <v>137</v>
      </c>
      <c r="J55" s="4" t="str">
        <f t="shared" si="4"/>
        <v>10</v>
      </c>
      <c r="K55" s="4" t="str">
        <f t="shared" si="5"/>
        <v>30</v>
      </c>
      <c r="L55" s="4" t="str">
        <f t="shared" si="6"/>
        <v>33</v>
      </c>
      <c r="M55" s="7" t="str">
        <f t="shared" si="7"/>
        <v>10:30:33</v>
      </c>
      <c r="N55" s="3" t="s">
        <v>111</v>
      </c>
      <c r="O55" s="3" t="s">
        <v>10</v>
      </c>
      <c r="P55" s="3" t="s">
        <v>22</v>
      </c>
    </row>
    <row r="56" spans="1:16" ht="15.75" customHeight="1" x14ac:dyDescent="0.3">
      <c r="A56" s="10" t="s">
        <v>5</v>
      </c>
      <c r="B56" s="3" t="s">
        <v>87</v>
      </c>
      <c r="C56" s="12" t="str">
        <f t="shared" si="9"/>
        <v>51998106245</v>
      </c>
      <c r="D56" s="3" t="s">
        <v>138</v>
      </c>
      <c r="E56" s="4" t="str">
        <f t="shared" si="0"/>
        <v>2018</v>
      </c>
      <c r="F56" s="4" t="str">
        <f t="shared" si="1"/>
        <v>12</v>
      </c>
      <c r="G56" s="4" t="str">
        <f t="shared" si="2"/>
        <v>19</v>
      </c>
      <c r="H56" s="7" t="str">
        <f t="shared" si="3"/>
        <v>19/12/2018</v>
      </c>
      <c r="I56" s="3" t="s">
        <v>139</v>
      </c>
      <c r="J56" s="4" t="str">
        <f t="shared" si="4"/>
        <v>10</v>
      </c>
      <c r="K56" s="4" t="str">
        <f t="shared" si="5"/>
        <v>41</v>
      </c>
      <c r="L56" s="4" t="str">
        <f t="shared" si="6"/>
        <v>14</v>
      </c>
      <c r="M56" s="7" t="str">
        <f t="shared" si="7"/>
        <v>10:41:14</v>
      </c>
      <c r="N56" s="3" t="s">
        <v>111</v>
      </c>
      <c r="O56" s="3" t="s">
        <v>10</v>
      </c>
      <c r="P56" s="3" t="s">
        <v>22</v>
      </c>
    </row>
    <row r="57" spans="1:16" ht="15.75" customHeight="1" x14ac:dyDescent="0.3">
      <c r="A57" s="10" t="s">
        <v>5</v>
      </c>
      <c r="B57" s="3" t="s">
        <v>87</v>
      </c>
      <c r="C57" s="12" t="str">
        <f t="shared" si="9"/>
        <v>51998106245</v>
      </c>
      <c r="D57" s="3" t="s">
        <v>134</v>
      </c>
      <c r="E57" s="4" t="str">
        <f t="shared" si="0"/>
        <v>2018</v>
      </c>
      <c r="F57" s="4" t="str">
        <f t="shared" si="1"/>
        <v>12</v>
      </c>
      <c r="G57" s="4" t="str">
        <f t="shared" si="2"/>
        <v>13</v>
      </c>
      <c r="H57" s="7" t="str">
        <f t="shared" si="3"/>
        <v>13/12/2018</v>
      </c>
      <c r="I57" s="3" t="s">
        <v>140</v>
      </c>
      <c r="J57" s="4" t="str">
        <f t="shared" si="4"/>
        <v>11</v>
      </c>
      <c r="K57" s="4" t="str">
        <f t="shared" si="5"/>
        <v>01</v>
      </c>
      <c r="L57" s="4" t="str">
        <f t="shared" si="6"/>
        <v>38</v>
      </c>
      <c r="M57" s="7" t="str">
        <f t="shared" si="7"/>
        <v>11:01:38</v>
      </c>
      <c r="N57" s="3" t="s">
        <v>114</v>
      </c>
      <c r="O57" s="3" t="s">
        <v>10</v>
      </c>
      <c r="P57" s="3" t="s">
        <v>22</v>
      </c>
    </row>
    <row r="58" spans="1:16" ht="15.75" customHeight="1" x14ac:dyDescent="0.3">
      <c r="A58" s="10" t="s">
        <v>5</v>
      </c>
      <c r="B58" s="3" t="s">
        <v>87</v>
      </c>
      <c r="C58" s="12" t="str">
        <f t="shared" si="9"/>
        <v>51998106245</v>
      </c>
      <c r="D58" s="3" t="s">
        <v>134</v>
      </c>
      <c r="E58" s="4" t="str">
        <f t="shared" si="0"/>
        <v>2018</v>
      </c>
      <c r="F58" s="4" t="str">
        <f t="shared" si="1"/>
        <v>12</v>
      </c>
      <c r="G58" s="4" t="str">
        <f t="shared" si="2"/>
        <v>13</v>
      </c>
      <c r="H58" s="7" t="str">
        <f t="shared" si="3"/>
        <v>13/12/2018</v>
      </c>
      <c r="I58" s="3" t="s">
        <v>141</v>
      </c>
      <c r="J58" s="4" t="str">
        <f t="shared" si="4"/>
        <v>11</v>
      </c>
      <c r="K58" s="4" t="str">
        <f t="shared" si="5"/>
        <v>02</v>
      </c>
      <c r="L58" s="4" t="str">
        <f t="shared" si="6"/>
        <v>19</v>
      </c>
      <c r="M58" s="7" t="str">
        <f t="shared" si="7"/>
        <v>11:02:19</v>
      </c>
      <c r="N58" s="3" t="s">
        <v>66</v>
      </c>
      <c r="O58" s="3" t="s">
        <v>10</v>
      </c>
      <c r="P58" s="3" t="s">
        <v>22</v>
      </c>
    </row>
    <row r="59" spans="1:16" ht="15.75" customHeight="1" x14ac:dyDescent="0.3">
      <c r="A59" s="10" t="s">
        <v>5</v>
      </c>
      <c r="B59" s="3" t="s">
        <v>87</v>
      </c>
      <c r="C59" s="12" t="str">
        <f t="shared" si="9"/>
        <v>51998106245</v>
      </c>
      <c r="D59" s="3" t="s">
        <v>142</v>
      </c>
      <c r="E59" s="4" t="str">
        <f t="shared" si="0"/>
        <v>2018</v>
      </c>
      <c r="F59" s="4" t="str">
        <f t="shared" si="1"/>
        <v>12</v>
      </c>
      <c r="G59" s="4" t="str">
        <f t="shared" si="2"/>
        <v>14</v>
      </c>
      <c r="H59" s="7" t="str">
        <f t="shared" si="3"/>
        <v>14/12/2018</v>
      </c>
      <c r="I59" s="3" t="s">
        <v>143</v>
      </c>
      <c r="J59" s="4" t="str">
        <f t="shared" si="4"/>
        <v>11</v>
      </c>
      <c r="K59" s="4" t="str">
        <f t="shared" si="5"/>
        <v>08</v>
      </c>
      <c r="L59" s="4" t="str">
        <f t="shared" si="6"/>
        <v>54</v>
      </c>
      <c r="M59" s="7" t="str">
        <f t="shared" si="7"/>
        <v>11:08:54</v>
      </c>
      <c r="N59" s="3" t="s">
        <v>111</v>
      </c>
      <c r="O59" s="3" t="s">
        <v>10</v>
      </c>
      <c r="P59" s="3" t="s">
        <v>22</v>
      </c>
    </row>
    <row r="60" spans="1:16" ht="15.75" customHeight="1" x14ac:dyDescent="0.3">
      <c r="A60" s="10" t="s">
        <v>5</v>
      </c>
      <c r="B60" s="3" t="s">
        <v>87</v>
      </c>
      <c r="C60" s="12" t="str">
        <f t="shared" si="9"/>
        <v>51998106245</v>
      </c>
      <c r="D60" s="3" t="s">
        <v>124</v>
      </c>
      <c r="E60" s="4" t="str">
        <f t="shared" si="0"/>
        <v>2018</v>
      </c>
      <c r="F60" s="4" t="str">
        <f t="shared" si="1"/>
        <v>12</v>
      </c>
      <c r="G60" s="4" t="str">
        <f t="shared" si="2"/>
        <v>17</v>
      </c>
      <c r="H60" s="7" t="str">
        <f t="shared" si="3"/>
        <v>17/12/2018</v>
      </c>
      <c r="I60" s="3" t="s">
        <v>144</v>
      </c>
      <c r="J60" s="4" t="str">
        <f t="shared" si="4"/>
        <v>11</v>
      </c>
      <c r="K60" s="4" t="str">
        <f t="shared" si="5"/>
        <v>40</v>
      </c>
      <c r="L60" s="4" t="str">
        <f t="shared" si="6"/>
        <v>45</v>
      </c>
      <c r="M60" s="7" t="str">
        <f t="shared" si="7"/>
        <v>11:40:45</v>
      </c>
      <c r="N60" s="3" t="s">
        <v>111</v>
      </c>
      <c r="O60" s="3" t="s">
        <v>10</v>
      </c>
      <c r="P60" s="3" t="s">
        <v>22</v>
      </c>
    </row>
    <row r="61" spans="1:16" ht="15.75" customHeight="1" x14ac:dyDescent="0.3">
      <c r="A61" s="10" t="s">
        <v>5</v>
      </c>
      <c r="B61" s="3" t="s">
        <v>87</v>
      </c>
      <c r="C61" s="12" t="str">
        <f t="shared" si="9"/>
        <v>51998106245</v>
      </c>
      <c r="D61" s="3" t="s">
        <v>145</v>
      </c>
      <c r="E61" s="4" t="str">
        <f t="shared" si="0"/>
        <v>2018</v>
      </c>
      <c r="F61" s="4" t="str">
        <f t="shared" si="1"/>
        <v>12</v>
      </c>
      <c r="G61" s="4" t="str">
        <f t="shared" si="2"/>
        <v>15</v>
      </c>
      <c r="H61" s="7" t="str">
        <f t="shared" si="3"/>
        <v>15/12/2018</v>
      </c>
      <c r="I61" s="3" t="s">
        <v>146</v>
      </c>
      <c r="J61" s="4" t="str">
        <f t="shared" si="4"/>
        <v>11</v>
      </c>
      <c r="K61" s="4" t="str">
        <f t="shared" si="5"/>
        <v>57</v>
      </c>
      <c r="L61" s="4" t="str">
        <f t="shared" si="6"/>
        <v>34</v>
      </c>
      <c r="M61" s="7" t="str">
        <f t="shared" si="7"/>
        <v>11:57:34</v>
      </c>
      <c r="N61" s="3" t="s">
        <v>111</v>
      </c>
      <c r="O61" s="3" t="s">
        <v>10</v>
      </c>
      <c r="P61" s="3" t="s">
        <v>22</v>
      </c>
    </row>
    <row r="62" spans="1:16" ht="15.75" customHeight="1" x14ac:dyDescent="0.3">
      <c r="A62" s="10" t="s">
        <v>5</v>
      </c>
      <c r="B62" s="3" t="s">
        <v>87</v>
      </c>
      <c r="C62" s="12" t="str">
        <f t="shared" si="9"/>
        <v>51998106245</v>
      </c>
      <c r="D62" s="3" t="s">
        <v>60</v>
      </c>
      <c r="E62" s="4" t="str">
        <f t="shared" si="0"/>
        <v>2018</v>
      </c>
      <c r="F62" s="4" t="str">
        <f t="shared" si="1"/>
        <v>11</v>
      </c>
      <c r="G62" s="4" t="str">
        <f t="shared" si="2"/>
        <v>29</v>
      </c>
      <c r="H62" s="7" t="str">
        <f t="shared" si="3"/>
        <v>29/11/2018</v>
      </c>
      <c r="I62" s="3" t="s">
        <v>147</v>
      </c>
      <c r="J62" s="4" t="str">
        <f t="shared" si="4"/>
        <v>12</v>
      </c>
      <c r="K62" s="4" t="str">
        <f t="shared" si="5"/>
        <v>03</v>
      </c>
      <c r="L62" s="4" t="str">
        <f t="shared" si="6"/>
        <v>39</v>
      </c>
      <c r="M62" s="7" t="str">
        <f t="shared" si="7"/>
        <v>12:03:39</v>
      </c>
      <c r="N62" s="3" t="s">
        <v>66</v>
      </c>
      <c r="O62" s="3" t="s">
        <v>10</v>
      </c>
      <c r="P62" s="3" t="s">
        <v>22</v>
      </c>
    </row>
    <row r="63" spans="1:16" ht="15.75" customHeight="1" x14ac:dyDescent="0.3">
      <c r="A63" s="10" t="s">
        <v>5</v>
      </c>
      <c r="B63" s="3" t="s">
        <v>87</v>
      </c>
      <c r="C63" s="12" t="str">
        <f t="shared" si="9"/>
        <v>51998106245</v>
      </c>
      <c r="D63" s="3" t="s">
        <v>120</v>
      </c>
      <c r="E63" s="4" t="str">
        <f t="shared" si="0"/>
        <v>2018</v>
      </c>
      <c r="F63" s="4" t="str">
        <f t="shared" si="1"/>
        <v>12</v>
      </c>
      <c r="G63" s="4" t="str">
        <f t="shared" si="2"/>
        <v>21</v>
      </c>
      <c r="H63" s="7" t="str">
        <f t="shared" si="3"/>
        <v>21/12/2018</v>
      </c>
      <c r="I63" s="3" t="s">
        <v>148</v>
      </c>
      <c r="J63" s="4" t="str">
        <f t="shared" si="4"/>
        <v>12</v>
      </c>
      <c r="K63" s="4" t="str">
        <f t="shared" si="5"/>
        <v>25</v>
      </c>
      <c r="L63" s="4" t="str">
        <f t="shared" si="6"/>
        <v>53</v>
      </c>
      <c r="M63" s="7" t="str">
        <f t="shared" si="7"/>
        <v>12:25:53</v>
      </c>
      <c r="N63" s="3" t="s">
        <v>111</v>
      </c>
      <c r="O63" s="3" t="s">
        <v>10</v>
      </c>
      <c r="P63" s="3" t="s">
        <v>22</v>
      </c>
    </row>
    <row r="64" spans="1:16" ht="15.75" customHeight="1" x14ac:dyDescent="0.3">
      <c r="A64" s="10" t="s">
        <v>5</v>
      </c>
      <c r="B64" s="3" t="s">
        <v>87</v>
      </c>
      <c r="C64" s="12" t="str">
        <f t="shared" si="9"/>
        <v>51998106245</v>
      </c>
      <c r="D64" s="3" t="s">
        <v>120</v>
      </c>
      <c r="E64" s="4" t="str">
        <f t="shared" si="0"/>
        <v>2018</v>
      </c>
      <c r="F64" s="4" t="str">
        <f t="shared" si="1"/>
        <v>12</v>
      </c>
      <c r="G64" s="4" t="str">
        <f t="shared" si="2"/>
        <v>21</v>
      </c>
      <c r="H64" s="7" t="str">
        <f t="shared" si="3"/>
        <v>21/12/2018</v>
      </c>
      <c r="I64" s="3" t="s">
        <v>149</v>
      </c>
      <c r="J64" s="4" t="str">
        <f t="shared" si="4"/>
        <v>12</v>
      </c>
      <c r="K64" s="4" t="str">
        <f t="shared" si="5"/>
        <v>28</v>
      </c>
      <c r="L64" s="4" t="str">
        <f t="shared" si="6"/>
        <v>57</v>
      </c>
      <c r="M64" s="7" t="str">
        <f t="shared" si="7"/>
        <v>12:28:57</v>
      </c>
      <c r="N64" s="3" t="s">
        <v>111</v>
      </c>
      <c r="O64" s="3" t="s">
        <v>10</v>
      </c>
      <c r="P64" s="3" t="s">
        <v>22</v>
      </c>
    </row>
    <row r="65" spans="1:16" ht="15.75" customHeight="1" x14ac:dyDescent="0.3">
      <c r="A65" s="10" t="s">
        <v>5</v>
      </c>
      <c r="B65" s="3" t="s">
        <v>87</v>
      </c>
      <c r="C65" s="12" t="str">
        <f t="shared" si="9"/>
        <v>51998106245</v>
      </c>
      <c r="D65" s="3" t="s">
        <v>134</v>
      </c>
      <c r="E65" s="4" t="str">
        <f t="shared" si="0"/>
        <v>2018</v>
      </c>
      <c r="F65" s="4" t="str">
        <f t="shared" si="1"/>
        <v>12</v>
      </c>
      <c r="G65" s="4" t="str">
        <f t="shared" si="2"/>
        <v>13</v>
      </c>
      <c r="H65" s="7" t="str">
        <f t="shared" si="3"/>
        <v>13/12/2018</v>
      </c>
      <c r="I65" s="3" t="s">
        <v>150</v>
      </c>
      <c r="J65" s="4" t="str">
        <f t="shared" si="4"/>
        <v>12</v>
      </c>
      <c r="K65" s="4" t="str">
        <f t="shared" si="5"/>
        <v>33</v>
      </c>
      <c r="L65" s="4" t="str">
        <f t="shared" si="6"/>
        <v>42</v>
      </c>
      <c r="M65" s="7" t="str">
        <f t="shared" si="7"/>
        <v>12:33:42</v>
      </c>
      <c r="N65" s="3" t="s">
        <v>66</v>
      </c>
      <c r="O65" s="3" t="s">
        <v>10</v>
      </c>
      <c r="P65" s="3" t="s">
        <v>22</v>
      </c>
    </row>
    <row r="66" spans="1:16" ht="15.75" customHeight="1" x14ac:dyDescent="0.3">
      <c r="A66" s="10" t="s">
        <v>5</v>
      </c>
      <c r="B66" s="3" t="s">
        <v>87</v>
      </c>
      <c r="C66" s="12" t="str">
        <f t="shared" si="9"/>
        <v>51998106245</v>
      </c>
      <c r="D66" s="3" t="s">
        <v>102</v>
      </c>
      <c r="E66" s="4" t="str">
        <f t="shared" si="0"/>
        <v>2018</v>
      </c>
      <c r="F66" s="4" t="str">
        <f t="shared" si="1"/>
        <v>11</v>
      </c>
      <c r="G66" s="4" t="str">
        <f t="shared" si="2"/>
        <v>19</v>
      </c>
      <c r="H66" s="7" t="str">
        <f t="shared" si="3"/>
        <v>19/11/2018</v>
      </c>
      <c r="I66" s="3" t="s">
        <v>151</v>
      </c>
      <c r="J66" s="4" t="str">
        <f t="shared" si="4"/>
        <v>13</v>
      </c>
      <c r="K66" s="4" t="str">
        <f t="shared" si="5"/>
        <v>38</v>
      </c>
      <c r="L66" s="4" t="str">
        <f t="shared" si="6"/>
        <v>10</v>
      </c>
      <c r="M66" s="7" t="str">
        <f t="shared" si="7"/>
        <v>13:38:10</v>
      </c>
      <c r="N66" s="3" t="s">
        <v>66</v>
      </c>
      <c r="O66" s="3" t="s">
        <v>10</v>
      </c>
      <c r="P66" s="3" t="s">
        <v>22</v>
      </c>
    </row>
    <row r="67" spans="1:16" ht="15.75" customHeight="1" x14ac:dyDescent="0.3">
      <c r="A67" s="10" t="s">
        <v>5</v>
      </c>
      <c r="B67" s="3" t="s">
        <v>87</v>
      </c>
      <c r="C67" s="12" t="str">
        <f t="shared" si="9"/>
        <v>51998106245</v>
      </c>
      <c r="D67" s="3" t="s">
        <v>19</v>
      </c>
      <c r="E67" s="4" t="str">
        <f t="shared" si="0"/>
        <v>2018</v>
      </c>
      <c r="F67" s="4" t="str">
        <f t="shared" si="1"/>
        <v>12</v>
      </c>
      <c r="G67" s="4" t="str">
        <f t="shared" si="2"/>
        <v>26</v>
      </c>
      <c r="H67" s="7" t="str">
        <f t="shared" si="3"/>
        <v>26/12/2018</v>
      </c>
      <c r="I67" s="3" t="s">
        <v>152</v>
      </c>
      <c r="J67" s="4" t="str">
        <f t="shared" si="4"/>
        <v>14</v>
      </c>
      <c r="K67" s="4" t="str">
        <f t="shared" si="5"/>
        <v>07</v>
      </c>
      <c r="L67" s="4" t="str">
        <f t="shared" si="6"/>
        <v>51</v>
      </c>
      <c r="M67" s="7" t="str">
        <f t="shared" si="7"/>
        <v>14:07:51</v>
      </c>
      <c r="N67" s="3" t="s">
        <v>66</v>
      </c>
      <c r="O67" s="3" t="s">
        <v>10</v>
      </c>
      <c r="P67" s="3" t="s">
        <v>22</v>
      </c>
    </row>
    <row r="68" spans="1:16" ht="15.75" customHeight="1" x14ac:dyDescent="0.3">
      <c r="A68" s="10" t="s">
        <v>5</v>
      </c>
      <c r="B68" s="3" t="s">
        <v>87</v>
      </c>
      <c r="C68" s="12" t="str">
        <f t="shared" si="9"/>
        <v>51998106245</v>
      </c>
      <c r="D68" s="3" t="s">
        <v>145</v>
      </c>
      <c r="E68" s="4" t="str">
        <f t="shared" si="0"/>
        <v>2018</v>
      </c>
      <c r="F68" s="4" t="str">
        <f t="shared" si="1"/>
        <v>12</v>
      </c>
      <c r="G68" s="4" t="str">
        <f t="shared" si="2"/>
        <v>15</v>
      </c>
      <c r="H68" s="7" t="str">
        <f t="shared" si="3"/>
        <v>15/12/2018</v>
      </c>
      <c r="I68" s="3" t="s">
        <v>153</v>
      </c>
      <c r="J68" s="4" t="str">
        <f t="shared" si="4"/>
        <v>15</v>
      </c>
      <c r="K68" s="4" t="str">
        <f t="shared" si="5"/>
        <v>01</v>
      </c>
      <c r="L68" s="4" t="str">
        <f t="shared" si="6"/>
        <v>38</v>
      </c>
      <c r="M68" s="7" t="str">
        <f t="shared" si="7"/>
        <v>15:01:38</v>
      </c>
      <c r="N68" s="3" t="s">
        <v>111</v>
      </c>
      <c r="O68" s="3" t="s">
        <v>10</v>
      </c>
      <c r="P68" s="3" t="s">
        <v>22</v>
      </c>
    </row>
    <row r="69" spans="1:16" ht="15.75" customHeight="1" x14ac:dyDescent="0.3">
      <c r="A69" s="10" t="s">
        <v>5</v>
      </c>
      <c r="B69" s="3" t="s">
        <v>87</v>
      </c>
      <c r="C69" s="12" t="str">
        <f t="shared" si="9"/>
        <v>51998106245</v>
      </c>
      <c r="D69" s="3" t="s">
        <v>124</v>
      </c>
      <c r="E69" s="4" t="str">
        <f t="shared" si="0"/>
        <v>2018</v>
      </c>
      <c r="F69" s="4" t="str">
        <f t="shared" si="1"/>
        <v>12</v>
      </c>
      <c r="G69" s="4" t="str">
        <f t="shared" si="2"/>
        <v>17</v>
      </c>
      <c r="H69" s="7" t="str">
        <f t="shared" si="3"/>
        <v>17/12/2018</v>
      </c>
      <c r="I69" s="3" t="s">
        <v>154</v>
      </c>
      <c r="J69" s="4" t="str">
        <f t="shared" si="4"/>
        <v>15</v>
      </c>
      <c r="K69" s="4" t="str">
        <f t="shared" si="5"/>
        <v>03</v>
      </c>
      <c r="L69" s="4" t="str">
        <f t="shared" si="6"/>
        <v>52</v>
      </c>
      <c r="M69" s="7" t="str">
        <f t="shared" si="7"/>
        <v>15:03:52</v>
      </c>
      <c r="N69" s="3" t="s">
        <v>104</v>
      </c>
      <c r="O69" s="3" t="s">
        <v>10</v>
      </c>
      <c r="P69" s="3" t="s">
        <v>22</v>
      </c>
    </row>
    <row r="70" spans="1:16" ht="15.75" customHeight="1" x14ac:dyDescent="0.3">
      <c r="A70" s="10" t="s">
        <v>5</v>
      </c>
      <c r="B70" s="3" t="s">
        <v>87</v>
      </c>
      <c r="C70" s="12" t="str">
        <f t="shared" si="9"/>
        <v>51998106245</v>
      </c>
      <c r="D70" s="3" t="s">
        <v>155</v>
      </c>
      <c r="E70" s="4" t="str">
        <f t="shared" si="0"/>
        <v>2018</v>
      </c>
      <c r="F70" s="4" t="str">
        <f t="shared" si="1"/>
        <v>10</v>
      </c>
      <c r="G70" s="4" t="str">
        <f t="shared" si="2"/>
        <v>26</v>
      </c>
      <c r="H70" s="7" t="str">
        <f t="shared" si="3"/>
        <v>26/10/2018</v>
      </c>
      <c r="I70" s="3" t="s">
        <v>156</v>
      </c>
      <c r="J70" s="4" t="str">
        <f t="shared" si="4"/>
        <v>15</v>
      </c>
      <c r="K70" s="4" t="str">
        <f t="shared" si="5"/>
        <v>51</v>
      </c>
      <c r="L70" s="4" t="str">
        <f t="shared" si="6"/>
        <v>03</v>
      </c>
      <c r="M70" s="7" t="str">
        <f t="shared" si="7"/>
        <v>15:51:03</v>
      </c>
      <c r="N70" s="3" t="s">
        <v>92</v>
      </c>
      <c r="O70" s="3" t="s">
        <v>10</v>
      </c>
      <c r="P70" s="3" t="s">
        <v>22</v>
      </c>
    </row>
    <row r="71" spans="1:16" ht="15.75" customHeight="1" x14ac:dyDescent="0.3">
      <c r="A71" s="10" t="s">
        <v>5</v>
      </c>
      <c r="B71" s="3" t="s">
        <v>87</v>
      </c>
      <c r="C71" s="12" t="str">
        <f t="shared" si="9"/>
        <v>51998106245</v>
      </c>
      <c r="D71" s="3" t="s">
        <v>145</v>
      </c>
      <c r="E71" s="4" t="str">
        <f t="shared" si="0"/>
        <v>2018</v>
      </c>
      <c r="F71" s="4" t="str">
        <f t="shared" si="1"/>
        <v>12</v>
      </c>
      <c r="G71" s="4" t="str">
        <f t="shared" si="2"/>
        <v>15</v>
      </c>
      <c r="H71" s="7" t="str">
        <f t="shared" si="3"/>
        <v>15/12/2018</v>
      </c>
      <c r="I71" s="3" t="s">
        <v>157</v>
      </c>
      <c r="J71" s="4" t="str">
        <f t="shared" si="4"/>
        <v>16</v>
      </c>
      <c r="K71" s="4" t="str">
        <f t="shared" si="5"/>
        <v>22</v>
      </c>
      <c r="L71" s="4" t="str">
        <f t="shared" si="6"/>
        <v>38</v>
      </c>
      <c r="M71" s="7" t="str">
        <f t="shared" si="7"/>
        <v>16:22:38</v>
      </c>
      <c r="N71" s="3" t="s">
        <v>66</v>
      </c>
      <c r="O71" s="3" t="s">
        <v>10</v>
      </c>
      <c r="P71" s="3" t="s">
        <v>22</v>
      </c>
    </row>
    <row r="72" spans="1:16" ht="15.75" customHeight="1" x14ac:dyDescent="0.3">
      <c r="A72" s="10" t="s">
        <v>5</v>
      </c>
      <c r="B72" s="3" t="s">
        <v>87</v>
      </c>
      <c r="C72" s="12" t="str">
        <f t="shared" ref="C72:C100" si="10">51&amp;(TEXT(RIGHT(B72,9),"000000000"))</f>
        <v>51998106245</v>
      </c>
      <c r="D72" s="3" t="s">
        <v>95</v>
      </c>
      <c r="E72" s="4" t="str">
        <f t="shared" si="0"/>
        <v>2018</v>
      </c>
      <c r="F72" s="4" t="str">
        <f t="shared" si="1"/>
        <v>11</v>
      </c>
      <c r="G72" s="4" t="str">
        <f t="shared" si="2"/>
        <v>16</v>
      </c>
      <c r="H72" s="7" t="str">
        <f t="shared" si="3"/>
        <v>16/11/2018</v>
      </c>
      <c r="I72" s="3" t="s">
        <v>158</v>
      </c>
      <c r="J72" s="4" t="str">
        <f t="shared" si="4"/>
        <v>16</v>
      </c>
      <c r="K72" s="4" t="str">
        <f t="shared" si="5"/>
        <v>27</v>
      </c>
      <c r="L72" s="4" t="str">
        <f t="shared" si="6"/>
        <v>43</v>
      </c>
      <c r="M72" s="7" t="str">
        <f t="shared" si="7"/>
        <v>16:27:43</v>
      </c>
      <c r="N72" s="3" t="s">
        <v>101</v>
      </c>
      <c r="O72" s="3" t="s">
        <v>10</v>
      </c>
      <c r="P72" s="3" t="s">
        <v>22</v>
      </c>
    </row>
    <row r="73" spans="1:16" ht="15.75" customHeight="1" x14ac:dyDescent="0.3">
      <c r="A73" s="10" t="s">
        <v>5</v>
      </c>
      <c r="B73" s="3" t="s">
        <v>87</v>
      </c>
      <c r="C73" s="12" t="str">
        <f t="shared" si="10"/>
        <v>51998106245</v>
      </c>
      <c r="D73" s="3" t="s">
        <v>122</v>
      </c>
      <c r="E73" s="4" t="str">
        <f t="shared" si="0"/>
        <v>2018</v>
      </c>
      <c r="F73" s="4" t="str">
        <f t="shared" si="1"/>
        <v>12</v>
      </c>
      <c r="G73" s="4" t="str">
        <f t="shared" si="2"/>
        <v>06</v>
      </c>
      <c r="H73" s="7" t="str">
        <f t="shared" si="3"/>
        <v>06/12/2018</v>
      </c>
      <c r="I73" s="3" t="s">
        <v>159</v>
      </c>
      <c r="J73" s="4" t="str">
        <f t="shared" si="4"/>
        <v>16</v>
      </c>
      <c r="K73" s="4" t="str">
        <f t="shared" si="5"/>
        <v>38</v>
      </c>
      <c r="L73" s="4" t="str">
        <f t="shared" si="6"/>
        <v>06</v>
      </c>
      <c r="M73" s="7" t="str">
        <f t="shared" si="7"/>
        <v>16:38:06</v>
      </c>
      <c r="N73" s="3" t="s">
        <v>111</v>
      </c>
      <c r="O73" s="3" t="s">
        <v>10</v>
      </c>
      <c r="P73" s="3" t="s">
        <v>22</v>
      </c>
    </row>
    <row r="74" spans="1:16" ht="15.75" customHeight="1" x14ac:dyDescent="0.3">
      <c r="A74" s="10" t="s">
        <v>5</v>
      </c>
      <c r="B74" s="3" t="s">
        <v>87</v>
      </c>
      <c r="C74" s="12" t="str">
        <f t="shared" si="10"/>
        <v>51998106245</v>
      </c>
      <c r="D74" s="3" t="s">
        <v>120</v>
      </c>
      <c r="E74" s="4" t="str">
        <f t="shared" si="0"/>
        <v>2018</v>
      </c>
      <c r="F74" s="4" t="str">
        <f t="shared" si="1"/>
        <v>12</v>
      </c>
      <c r="G74" s="4" t="str">
        <f t="shared" si="2"/>
        <v>21</v>
      </c>
      <c r="H74" s="7" t="str">
        <f t="shared" si="3"/>
        <v>21/12/2018</v>
      </c>
      <c r="I74" s="3" t="s">
        <v>160</v>
      </c>
      <c r="J74" s="4" t="str">
        <f t="shared" si="4"/>
        <v>17</v>
      </c>
      <c r="K74" s="4" t="str">
        <f t="shared" si="5"/>
        <v>00</v>
      </c>
      <c r="L74" s="4" t="str">
        <f t="shared" si="6"/>
        <v>26</v>
      </c>
      <c r="M74" s="7" t="str">
        <f t="shared" si="7"/>
        <v>17:00:26</v>
      </c>
      <c r="N74" s="3" t="s">
        <v>66</v>
      </c>
      <c r="O74" s="3" t="s">
        <v>10</v>
      </c>
      <c r="P74" s="3" t="s">
        <v>22</v>
      </c>
    </row>
    <row r="75" spans="1:16" ht="15.75" customHeight="1" x14ac:dyDescent="0.3">
      <c r="A75" s="10" t="s">
        <v>5</v>
      </c>
      <c r="B75" s="3" t="s">
        <v>87</v>
      </c>
      <c r="C75" s="12" t="str">
        <f t="shared" si="10"/>
        <v>51998106245</v>
      </c>
      <c r="D75" s="3" t="s">
        <v>142</v>
      </c>
      <c r="E75" s="4" t="str">
        <f t="shared" si="0"/>
        <v>2018</v>
      </c>
      <c r="F75" s="4" t="str">
        <f t="shared" si="1"/>
        <v>12</v>
      </c>
      <c r="G75" s="4" t="str">
        <f t="shared" si="2"/>
        <v>14</v>
      </c>
      <c r="H75" s="7" t="str">
        <f t="shared" si="3"/>
        <v>14/12/2018</v>
      </c>
      <c r="I75" s="3" t="s">
        <v>161</v>
      </c>
      <c r="J75" s="4" t="str">
        <f t="shared" si="4"/>
        <v>17</v>
      </c>
      <c r="K75" s="4" t="str">
        <f t="shared" si="5"/>
        <v>07</v>
      </c>
      <c r="L75" s="4" t="str">
        <f t="shared" si="6"/>
        <v>48</v>
      </c>
      <c r="M75" s="7" t="str">
        <f t="shared" si="7"/>
        <v>17:07:48</v>
      </c>
      <c r="N75" s="3" t="s">
        <v>92</v>
      </c>
      <c r="O75" s="3" t="s">
        <v>10</v>
      </c>
      <c r="P75" s="3" t="s">
        <v>22</v>
      </c>
    </row>
    <row r="76" spans="1:16" ht="15.75" customHeight="1" x14ac:dyDescent="0.3">
      <c r="A76" s="10" t="s">
        <v>5</v>
      </c>
      <c r="B76" s="3" t="s">
        <v>87</v>
      </c>
      <c r="C76" s="12" t="str">
        <f t="shared" si="10"/>
        <v>51998106245</v>
      </c>
      <c r="D76" s="3" t="s">
        <v>145</v>
      </c>
      <c r="E76" s="4" t="str">
        <f t="shared" si="0"/>
        <v>2018</v>
      </c>
      <c r="F76" s="4" t="str">
        <f t="shared" si="1"/>
        <v>12</v>
      </c>
      <c r="G76" s="4" t="str">
        <f t="shared" si="2"/>
        <v>15</v>
      </c>
      <c r="H76" s="7" t="str">
        <f t="shared" si="3"/>
        <v>15/12/2018</v>
      </c>
      <c r="I76" s="3" t="s">
        <v>162</v>
      </c>
      <c r="J76" s="4" t="str">
        <f t="shared" si="4"/>
        <v>17</v>
      </c>
      <c r="K76" s="4" t="str">
        <f t="shared" si="5"/>
        <v>13</v>
      </c>
      <c r="L76" s="4" t="str">
        <f t="shared" si="6"/>
        <v>02</v>
      </c>
      <c r="M76" s="7" t="str">
        <f t="shared" si="7"/>
        <v>17:13:02</v>
      </c>
      <c r="N76" s="3" t="s">
        <v>111</v>
      </c>
      <c r="O76" s="3" t="s">
        <v>10</v>
      </c>
      <c r="P76" s="3" t="s">
        <v>22</v>
      </c>
    </row>
    <row r="77" spans="1:16" ht="15.75" customHeight="1" x14ac:dyDescent="0.3">
      <c r="A77" s="10" t="s">
        <v>5</v>
      </c>
      <c r="B77" s="3" t="s">
        <v>87</v>
      </c>
      <c r="C77" s="12" t="str">
        <f t="shared" si="10"/>
        <v>51998106245</v>
      </c>
      <c r="D77" s="3" t="s">
        <v>155</v>
      </c>
      <c r="E77" s="4" t="str">
        <f t="shared" si="0"/>
        <v>2018</v>
      </c>
      <c r="F77" s="4" t="str">
        <f t="shared" si="1"/>
        <v>10</v>
      </c>
      <c r="G77" s="4" t="str">
        <f t="shared" si="2"/>
        <v>26</v>
      </c>
      <c r="H77" s="7" t="str">
        <f t="shared" si="3"/>
        <v>26/10/2018</v>
      </c>
      <c r="I77" s="3" t="s">
        <v>163</v>
      </c>
      <c r="J77" s="4" t="str">
        <f t="shared" si="4"/>
        <v>17</v>
      </c>
      <c r="K77" s="4" t="str">
        <f t="shared" si="5"/>
        <v>27</v>
      </c>
      <c r="L77" s="4" t="str">
        <f t="shared" si="6"/>
        <v>57</v>
      </c>
      <c r="M77" s="7" t="str">
        <f t="shared" si="7"/>
        <v>17:27:57</v>
      </c>
      <c r="N77" s="3" t="s">
        <v>92</v>
      </c>
      <c r="O77" s="3" t="s">
        <v>10</v>
      </c>
      <c r="P77" s="3" t="s">
        <v>22</v>
      </c>
    </row>
    <row r="78" spans="1:16" ht="15.75" customHeight="1" x14ac:dyDescent="0.3">
      <c r="A78" s="10" t="s">
        <v>5</v>
      </c>
      <c r="B78" s="3" t="s">
        <v>87</v>
      </c>
      <c r="C78" s="12" t="str">
        <f t="shared" si="10"/>
        <v>51998106245</v>
      </c>
      <c r="D78" s="3" t="s">
        <v>93</v>
      </c>
      <c r="E78" s="4" t="str">
        <f t="shared" si="0"/>
        <v>2018</v>
      </c>
      <c r="F78" s="4" t="str">
        <f t="shared" si="1"/>
        <v>11</v>
      </c>
      <c r="G78" s="4" t="str">
        <f t="shared" si="2"/>
        <v>21</v>
      </c>
      <c r="H78" s="7" t="str">
        <f t="shared" si="3"/>
        <v>21/11/2018</v>
      </c>
      <c r="I78" s="3" t="s">
        <v>164</v>
      </c>
      <c r="J78" s="4" t="str">
        <f t="shared" si="4"/>
        <v>17</v>
      </c>
      <c r="K78" s="4" t="str">
        <f t="shared" si="5"/>
        <v>47</v>
      </c>
      <c r="L78" s="4" t="str">
        <f t="shared" si="6"/>
        <v>41</v>
      </c>
      <c r="M78" s="7" t="str">
        <f t="shared" si="7"/>
        <v>17:47:41</v>
      </c>
      <c r="N78" s="3" t="s">
        <v>66</v>
      </c>
      <c r="O78" s="3" t="s">
        <v>10</v>
      </c>
      <c r="P78" s="3" t="s">
        <v>22</v>
      </c>
    </row>
    <row r="79" spans="1:16" ht="15.75" customHeight="1" x14ac:dyDescent="0.3">
      <c r="A79" s="10" t="s">
        <v>5</v>
      </c>
      <c r="B79" s="3" t="s">
        <v>87</v>
      </c>
      <c r="C79" s="12" t="str">
        <f t="shared" si="10"/>
        <v>51998106245</v>
      </c>
      <c r="D79" s="3" t="s">
        <v>93</v>
      </c>
      <c r="E79" s="4" t="str">
        <f t="shared" si="0"/>
        <v>2018</v>
      </c>
      <c r="F79" s="4" t="str">
        <f t="shared" si="1"/>
        <v>11</v>
      </c>
      <c r="G79" s="4" t="str">
        <f t="shared" si="2"/>
        <v>21</v>
      </c>
      <c r="H79" s="7" t="str">
        <f t="shared" si="3"/>
        <v>21/11/2018</v>
      </c>
      <c r="I79" s="3" t="s">
        <v>165</v>
      </c>
      <c r="J79" s="4" t="str">
        <f t="shared" si="4"/>
        <v>17</v>
      </c>
      <c r="K79" s="4" t="str">
        <f t="shared" si="5"/>
        <v>47</v>
      </c>
      <c r="L79" s="4" t="str">
        <f t="shared" si="6"/>
        <v>54</v>
      </c>
      <c r="M79" s="7" t="str">
        <f t="shared" si="7"/>
        <v>17:47:54</v>
      </c>
      <c r="N79" s="3" t="s">
        <v>66</v>
      </c>
      <c r="O79" s="3" t="s">
        <v>10</v>
      </c>
      <c r="P79" s="3" t="s">
        <v>22</v>
      </c>
    </row>
    <row r="80" spans="1:16" ht="15.75" customHeight="1" x14ac:dyDescent="0.3">
      <c r="A80" s="10" t="s">
        <v>5</v>
      </c>
      <c r="B80" s="3" t="s">
        <v>87</v>
      </c>
      <c r="C80" s="12" t="str">
        <f t="shared" si="10"/>
        <v>51998106245</v>
      </c>
      <c r="D80" s="3" t="s">
        <v>95</v>
      </c>
      <c r="E80" s="4" t="str">
        <f t="shared" si="0"/>
        <v>2018</v>
      </c>
      <c r="F80" s="4" t="str">
        <f t="shared" si="1"/>
        <v>11</v>
      </c>
      <c r="G80" s="4" t="str">
        <f t="shared" si="2"/>
        <v>16</v>
      </c>
      <c r="H80" s="7" t="str">
        <f t="shared" si="3"/>
        <v>16/11/2018</v>
      </c>
      <c r="I80" s="3" t="s">
        <v>166</v>
      </c>
      <c r="J80" s="4" t="str">
        <f t="shared" si="4"/>
        <v>18</v>
      </c>
      <c r="K80" s="4" t="str">
        <f t="shared" si="5"/>
        <v>29</v>
      </c>
      <c r="L80" s="4" t="str">
        <f t="shared" si="6"/>
        <v>17</v>
      </c>
      <c r="M80" s="7" t="str">
        <f t="shared" si="7"/>
        <v>18:29:17</v>
      </c>
      <c r="N80" s="3" t="s">
        <v>104</v>
      </c>
      <c r="O80" s="3" t="s">
        <v>10</v>
      </c>
      <c r="P80" s="3" t="s">
        <v>22</v>
      </c>
    </row>
    <row r="81" spans="1:16" ht="15.75" customHeight="1" x14ac:dyDescent="0.3">
      <c r="A81" s="10" t="s">
        <v>5</v>
      </c>
      <c r="B81" s="3" t="s">
        <v>87</v>
      </c>
      <c r="C81" s="12" t="str">
        <f t="shared" si="10"/>
        <v>51998106245</v>
      </c>
      <c r="D81" s="3" t="s">
        <v>167</v>
      </c>
      <c r="E81" s="4" t="str">
        <f t="shared" si="0"/>
        <v>2018</v>
      </c>
      <c r="F81" s="4" t="str">
        <f t="shared" si="1"/>
        <v>12</v>
      </c>
      <c r="G81" s="4" t="str">
        <f t="shared" si="2"/>
        <v>10</v>
      </c>
      <c r="H81" s="7" t="str">
        <f t="shared" si="3"/>
        <v>10/12/2018</v>
      </c>
      <c r="I81" s="3" t="s">
        <v>168</v>
      </c>
      <c r="J81" s="4" t="str">
        <f t="shared" si="4"/>
        <v>18</v>
      </c>
      <c r="K81" s="4" t="str">
        <f t="shared" si="5"/>
        <v>34</v>
      </c>
      <c r="L81" s="4" t="str">
        <f t="shared" si="6"/>
        <v>30</v>
      </c>
      <c r="M81" s="7" t="str">
        <f t="shared" si="7"/>
        <v>18:34:30</v>
      </c>
      <c r="N81" s="3" t="s">
        <v>66</v>
      </c>
      <c r="O81" s="3" t="s">
        <v>10</v>
      </c>
      <c r="P81" s="3" t="s">
        <v>22</v>
      </c>
    </row>
    <row r="82" spans="1:16" ht="15.75" customHeight="1" x14ac:dyDescent="0.3">
      <c r="A82" s="10" t="s">
        <v>5</v>
      </c>
      <c r="B82" s="3" t="s">
        <v>87</v>
      </c>
      <c r="C82" s="12" t="str">
        <f t="shared" si="10"/>
        <v>51998106245</v>
      </c>
      <c r="D82" s="3" t="s">
        <v>145</v>
      </c>
      <c r="E82" s="4" t="str">
        <f t="shared" si="0"/>
        <v>2018</v>
      </c>
      <c r="F82" s="4" t="str">
        <f t="shared" si="1"/>
        <v>12</v>
      </c>
      <c r="G82" s="4" t="str">
        <f t="shared" si="2"/>
        <v>15</v>
      </c>
      <c r="H82" s="7" t="str">
        <f t="shared" si="3"/>
        <v>15/12/2018</v>
      </c>
      <c r="I82" s="3" t="s">
        <v>169</v>
      </c>
      <c r="J82" s="4" t="str">
        <f t="shared" si="4"/>
        <v>18</v>
      </c>
      <c r="K82" s="4" t="str">
        <f t="shared" si="5"/>
        <v>49</v>
      </c>
      <c r="L82" s="4" t="str">
        <f t="shared" si="6"/>
        <v>26</v>
      </c>
      <c r="M82" s="7" t="str">
        <f t="shared" si="7"/>
        <v>18:49:26</v>
      </c>
      <c r="N82" s="3" t="s">
        <v>111</v>
      </c>
      <c r="O82" s="3" t="s">
        <v>10</v>
      </c>
      <c r="P82" s="3" t="s">
        <v>22</v>
      </c>
    </row>
    <row r="83" spans="1:16" ht="15.75" customHeight="1" x14ac:dyDescent="0.3">
      <c r="A83" s="10" t="s">
        <v>5</v>
      </c>
      <c r="B83" s="3" t="s">
        <v>87</v>
      </c>
      <c r="C83" s="12" t="str">
        <f t="shared" si="10"/>
        <v>51998106245</v>
      </c>
      <c r="D83" s="3" t="s">
        <v>122</v>
      </c>
      <c r="E83" s="4" t="str">
        <f t="shared" si="0"/>
        <v>2018</v>
      </c>
      <c r="F83" s="4" t="str">
        <f t="shared" si="1"/>
        <v>12</v>
      </c>
      <c r="G83" s="4" t="str">
        <f t="shared" si="2"/>
        <v>06</v>
      </c>
      <c r="H83" s="7" t="str">
        <f t="shared" si="3"/>
        <v>06/12/2018</v>
      </c>
      <c r="I83" s="3" t="s">
        <v>170</v>
      </c>
      <c r="J83" s="4" t="str">
        <f t="shared" si="4"/>
        <v>19</v>
      </c>
      <c r="K83" s="4" t="str">
        <f t="shared" si="5"/>
        <v>00</v>
      </c>
      <c r="L83" s="4" t="str">
        <f t="shared" si="6"/>
        <v>27</v>
      </c>
      <c r="M83" s="7" t="str">
        <f t="shared" si="7"/>
        <v>19:00:27</v>
      </c>
      <c r="N83" s="3" t="s">
        <v>111</v>
      </c>
      <c r="O83" s="3" t="s">
        <v>10</v>
      </c>
      <c r="P83" s="3" t="s">
        <v>22</v>
      </c>
    </row>
    <row r="84" spans="1:16" ht="15.75" customHeight="1" x14ac:dyDescent="0.3">
      <c r="A84" s="10" t="s">
        <v>5</v>
      </c>
      <c r="B84" s="3" t="s">
        <v>87</v>
      </c>
      <c r="C84" s="12" t="str">
        <f t="shared" si="10"/>
        <v>51998106245</v>
      </c>
      <c r="D84" s="3" t="s">
        <v>171</v>
      </c>
      <c r="E84" s="4" t="str">
        <f t="shared" si="0"/>
        <v>2018</v>
      </c>
      <c r="F84" s="4" t="str">
        <f t="shared" si="1"/>
        <v>12</v>
      </c>
      <c r="G84" s="4" t="str">
        <f t="shared" si="2"/>
        <v>20</v>
      </c>
      <c r="H84" s="7" t="str">
        <f t="shared" si="3"/>
        <v>20/12/2018</v>
      </c>
      <c r="I84" s="3" t="s">
        <v>172</v>
      </c>
      <c r="J84" s="4" t="str">
        <f t="shared" si="4"/>
        <v>19</v>
      </c>
      <c r="K84" s="4" t="str">
        <f t="shared" si="5"/>
        <v>13</v>
      </c>
      <c r="L84" s="4" t="str">
        <f t="shared" si="6"/>
        <v>09</v>
      </c>
      <c r="M84" s="7" t="str">
        <f t="shared" si="7"/>
        <v>19:13:09</v>
      </c>
      <c r="N84" s="3" t="s">
        <v>111</v>
      </c>
      <c r="O84" s="3" t="s">
        <v>10</v>
      </c>
      <c r="P84" s="3" t="s">
        <v>22</v>
      </c>
    </row>
    <row r="85" spans="1:16" ht="15.75" customHeight="1" x14ac:dyDescent="0.3">
      <c r="A85" s="10" t="s">
        <v>5</v>
      </c>
      <c r="B85" s="3" t="s">
        <v>87</v>
      </c>
      <c r="C85" s="12" t="str">
        <f t="shared" si="10"/>
        <v>51998106245</v>
      </c>
      <c r="D85" s="3" t="s">
        <v>145</v>
      </c>
      <c r="E85" s="4" t="str">
        <f t="shared" si="0"/>
        <v>2018</v>
      </c>
      <c r="F85" s="4" t="str">
        <f t="shared" si="1"/>
        <v>12</v>
      </c>
      <c r="G85" s="4" t="str">
        <f t="shared" si="2"/>
        <v>15</v>
      </c>
      <c r="H85" s="7" t="str">
        <f t="shared" si="3"/>
        <v>15/12/2018</v>
      </c>
      <c r="I85" s="3" t="s">
        <v>173</v>
      </c>
      <c r="J85" s="4" t="str">
        <f t="shared" si="4"/>
        <v>20</v>
      </c>
      <c r="K85" s="4" t="str">
        <f t="shared" si="5"/>
        <v>27</v>
      </c>
      <c r="L85" s="4" t="str">
        <f t="shared" si="6"/>
        <v>39</v>
      </c>
      <c r="M85" s="7" t="str">
        <f t="shared" si="7"/>
        <v>20:27:39</v>
      </c>
      <c r="N85" s="3" t="s">
        <v>111</v>
      </c>
      <c r="O85" s="3" t="s">
        <v>10</v>
      </c>
      <c r="P85" s="3" t="s">
        <v>22</v>
      </c>
    </row>
    <row r="86" spans="1:16" ht="15.75" customHeight="1" x14ac:dyDescent="0.3">
      <c r="A86" s="10" t="s">
        <v>5</v>
      </c>
      <c r="B86" s="3" t="s">
        <v>87</v>
      </c>
      <c r="C86" s="12" t="str">
        <f t="shared" si="10"/>
        <v>51998106245</v>
      </c>
      <c r="D86" s="3" t="s">
        <v>122</v>
      </c>
      <c r="E86" s="4" t="str">
        <f t="shared" si="0"/>
        <v>2018</v>
      </c>
      <c r="F86" s="4" t="str">
        <f t="shared" si="1"/>
        <v>12</v>
      </c>
      <c r="G86" s="4" t="str">
        <f t="shared" si="2"/>
        <v>06</v>
      </c>
      <c r="H86" s="7" t="str">
        <f t="shared" si="3"/>
        <v>06/12/2018</v>
      </c>
      <c r="I86" s="3" t="s">
        <v>174</v>
      </c>
      <c r="J86" s="4" t="str">
        <f t="shared" si="4"/>
        <v>20</v>
      </c>
      <c r="K86" s="4" t="str">
        <f t="shared" si="5"/>
        <v>42</v>
      </c>
      <c r="L86" s="4" t="str">
        <f t="shared" si="6"/>
        <v>43</v>
      </c>
      <c r="M86" s="7" t="str">
        <f t="shared" si="7"/>
        <v>20:42:43</v>
      </c>
      <c r="N86" s="3" t="s">
        <v>111</v>
      </c>
      <c r="O86" s="3" t="s">
        <v>10</v>
      </c>
      <c r="P86" s="3" t="s">
        <v>22</v>
      </c>
    </row>
    <row r="87" spans="1:16" ht="15.75" customHeight="1" x14ac:dyDescent="0.3">
      <c r="A87" s="10" t="s">
        <v>5</v>
      </c>
      <c r="B87" s="3" t="s">
        <v>87</v>
      </c>
      <c r="C87" s="12" t="str">
        <f t="shared" si="10"/>
        <v>51998106245</v>
      </c>
      <c r="D87" s="3" t="s">
        <v>142</v>
      </c>
      <c r="E87" s="4" t="str">
        <f t="shared" si="0"/>
        <v>2018</v>
      </c>
      <c r="F87" s="4" t="str">
        <f t="shared" si="1"/>
        <v>12</v>
      </c>
      <c r="G87" s="4" t="str">
        <f t="shared" si="2"/>
        <v>14</v>
      </c>
      <c r="H87" s="7" t="str">
        <f t="shared" si="3"/>
        <v>14/12/2018</v>
      </c>
      <c r="I87" s="3" t="s">
        <v>175</v>
      </c>
      <c r="J87" s="4" t="str">
        <f t="shared" si="4"/>
        <v>21</v>
      </c>
      <c r="K87" s="4" t="str">
        <f t="shared" si="5"/>
        <v>03</v>
      </c>
      <c r="L87" s="4" t="str">
        <f t="shared" si="6"/>
        <v>59</v>
      </c>
      <c r="M87" s="7" t="str">
        <f t="shared" si="7"/>
        <v>21:03:59</v>
      </c>
      <c r="N87" s="3" t="s">
        <v>111</v>
      </c>
      <c r="O87" s="3" t="s">
        <v>10</v>
      </c>
      <c r="P87" s="3" t="s">
        <v>22</v>
      </c>
    </row>
    <row r="88" spans="1:16" ht="15.75" customHeight="1" x14ac:dyDescent="0.3">
      <c r="A88" s="10" t="s">
        <v>5</v>
      </c>
      <c r="B88" s="3" t="s">
        <v>87</v>
      </c>
      <c r="C88" s="12" t="str">
        <f t="shared" si="10"/>
        <v>51998106245</v>
      </c>
      <c r="D88" s="3" t="s">
        <v>122</v>
      </c>
      <c r="E88" s="4" t="str">
        <f t="shared" si="0"/>
        <v>2018</v>
      </c>
      <c r="F88" s="4" t="str">
        <f t="shared" si="1"/>
        <v>12</v>
      </c>
      <c r="G88" s="4" t="str">
        <f t="shared" si="2"/>
        <v>06</v>
      </c>
      <c r="H88" s="7" t="str">
        <f t="shared" si="3"/>
        <v>06/12/2018</v>
      </c>
      <c r="I88" s="3" t="s">
        <v>176</v>
      </c>
      <c r="J88" s="4" t="str">
        <f t="shared" si="4"/>
        <v>21</v>
      </c>
      <c r="K88" s="4" t="str">
        <f t="shared" si="5"/>
        <v>45</v>
      </c>
      <c r="L88" s="4" t="str">
        <f t="shared" si="6"/>
        <v>18</v>
      </c>
      <c r="M88" s="7" t="str">
        <f t="shared" si="7"/>
        <v>21:45:18</v>
      </c>
      <c r="N88" s="3" t="s">
        <v>111</v>
      </c>
      <c r="O88" s="3" t="s">
        <v>10</v>
      </c>
      <c r="P88" s="3" t="s">
        <v>22</v>
      </c>
    </row>
    <row r="89" spans="1:16" ht="15.75" customHeight="1" x14ac:dyDescent="0.3">
      <c r="A89" s="10" t="s">
        <v>5</v>
      </c>
      <c r="B89" s="3" t="s">
        <v>87</v>
      </c>
      <c r="C89" s="12" t="str">
        <f t="shared" si="10"/>
        <v>51998106245</v>
      </c>
      <c r="D89" s="3" t="s">
        <v>167</v>
      </c>
      <c r="E89" s="4" t="str">
        <f t="shared" si="0"/>
        <v>2018</v>
      </c>
      <c r="F89" s="4" t="str">
        <f t="shared" si="1"/>
        <v>12</v>
      </c>
      <c r="G89" s="4" t="str">
        <f t="shared" si="2"/>
        <v>10</v>
      </c>
      <c r="H89" s="7" t="str">
        <f t="shared" si="3"/>
        <v>10/12/2018</v>
      </c>
      <c r="I89" s="3" t="s">
        <v>177</v>
      </c>
      <c r="J89" s="4" t="str">
        <f t="shared" si="4"/>
        <v>21</v>
      </c>
      <c r="K89" s="4" t="str">
        <f t="shared" si="5"/>
        <v>46</v>
      </c>
      <c r="L89" s="4" t="str">
        <f t="shared" si="6"/>
        <v>11</v>
      </c>
      <c r="M89" s="7" t="str">
        <f t="shared" si="7"/>
        <v>21:46:11</v>
      </c>
      <c r="N89" s="3" t="s">
        <v>92</v>
      </c>
      <c r="O89" s="3" t="s">
        <v>10</v>
      </c>
      <c r="P89" s="3" t="s">
        <v>22</v>
      </c>
    </row>
    <row r="90" spans="1:16" ht="15.75" customHeight="1" x14ac:dyDescent="0.3">
      <c r="A90" s="10" t="s">
        <v>5</v>
      </c>
      <c r="B90" s="3" t="s">
        <v>178</v>
      </c>
      <c r="C90" s="12" t="str">
        <f t="shared" si="10"/>
        <v>51998766457</v>
      </c>
      <c r="D90" s="3" t="s">
        <v>179</v>
      </c>
      <c r="E90" s="4" t="str">
        <f t="shared" si="0"/>
        <v>2018</v>
      </c>
      <c r="F90" s="4" t="str">
        <f t="shared" si="1"/>
        <v>11</v>
      </c>
      <c r="G90" s="4" t="str">
        <f t="shared" si="2"/>
        <v>09</v>
      </c>
      <c r="H90" s="7" t="str">
        <f t="shared" si="3"/>
        <v>09/11/2018</v>
      </c>
      <c r="I90" s="3" t="s">
        <v>180</v>
      </c>
      <c r="J90" s="4" t="str">
        <f t="shared" si="4"/>
        <v>06</v>
      </c>
      <c r="K90" s="4" t="str">
        <f t="shared" si="5"/>
        <v>40</v>
      </c>
      <c r="L90" s="4" t="str">
        <f t="shared" si="6"/>
        <v>54</v>
      </c>
      <c r="M90" s="7" t="str">
        <f t="shared" si="7"/>
        <v>06:40:54</v>
      </c>
      <c r="N90" s="3" t="s">
        <v>79</v>
      </c>
      <c r="O90" s="3" t="s">
        <v>10</v>
      </c>
      <c r="P90" s="3" t="s">
        <v>22</v>
      </c>
    </row>
    <row r="91" spans="1:16" ht="15.75" customHeight="1" x14ac:dyDescent="0.3">
      <c r="A91" s="10" t="s">
        <v>5</v>
      </c>
      <c r="B91" s="3" t="s">
        <v>5</v>
      </c>
      <c r="C91" s="12" t="str">
        <f t="shared" si="10"/>
        <v>51977369934</v>
      </c>
      <c r="D91" s="3" t="s">
        <v>179</v>
      </c>
      <c r="E91" s="4" t="str">
        <f t="shared" si="0"/>
        <v>2018</v>
      </c>
      <c r="F91" s="4" t="str">
        <f t="shared" si="1"/>
        <v>11</v>
      </c>
      <c r="G91" s="4" t="str">
        <f t="shared" si="2"/>
        <v>09</v>
      </c>
      <c r="H91" s="7" t="str">
        <f t="shared" si="3"/>
        <v>09/11/2018</v>
      </c>
      <c r="I91" s="3" t="s">
        <v>181</v>
      </c>
      <c r="J91" s="4" t="str">
        <f t="shared" si="4"/>
        <v>11</v>
      </c>
      <c r="K91" s="4" t="str">
        <f t="shared" si="5"/>
        <v>55</v>
      </c>
      <c r="L91" s="4" t="str">
        <f t="shared" si="6"/>
        <v>26</v>
      </c>
      <c r="M91" s="7" t="str">
        <f t="shared" si="7"/>
        <v>11:55:26</v>
      </c>
      <c r="N91" s="3" t="s">
        <v>9</v>
      </c>
      <c r="O91" s="3" t="s">
        <v>10</v>
      </c>
      <c r="P91" s="3" t="s">
        <v>11</v>
      </c>
    </row>
    <row r="92" spans="1:16" ht="15.75" customHeight="1" x14ac:dyDescent="0.3">
      <c r="A92" s="10" t="s">
        <v>5</v>
      </c>
      <c r="B92" s="3" t="s">
        <v>5</v>
      </c>
      <c r="C92" s="12" t="str">
        <f t="shared" si="10"/>
        <v>51977369934</v>
      </c>
      <c r="D92" s="3" t="s">
        <v>50</v>
      </c>
      <c r="E92" s="4" t="str">
        <f t="shared" si="0"/>
        <v>2018</v>
      </c>
      <c r="F92" s="4" t="str">
        <f t="shared" si="1"/>
        <v>11</v>
      </c>
      <c r="G92" s="4" t="str">
        <f t="shared" si="2"/>
        <v>08</v>
      </c>
      <c r="H92" s="7" t="str">
        <f t="shared" si="3"/>
        <v>08/11/2018</v>
      </c>
      <c r="I92" s="3" t="s">
        <v>182</v>
      </c>
      <c r="J92" s="4" t="str">
        <f t="shared" si="4"/>
        <v>12</v>
      </c>
      <c r="K92" s="4" t="str">
        <f t="shared" si="5"/>
        <v>18</v>
      </c>
      <c r="L92" s="4" t="str">
        <f t="shared" si="6"/>
        <v>26</v>
      </c>
      <c r="M92" s="7" t="str">
        <f t="shared" si="7"/>
        <v>12:18:26</v>
      </c>
      <c r="N92" s="3" t="s">
        <v>66</v>
      </c>
      <c r="O92" s="3" t="s">
        <v>10</v>
      </c>
      <c r="P92" s="3" t="s">
        <v>11</v>
      </c>
    </row>
    <row r="93" spans="1:16" ht="15.75" customHeight="1" x14ac:dyDescent="0.3">
      <c r="A93" s="10" t="s">
        <v>5</v>
      </c>
      <c r="B93" s="3" t="s">
        <v>5</v>
      </c>
      <c r="C93" s="12" t="str">
        <f t="shared" si="10"/>
        <v>51977369934</v>
      </c>
      <c r="D93" s="3" t="s">
        <v>54</v>
      </c>
      <c r="E93" s="4" t="str">
        <f t="shared" si="0"/>
        <v>2018</v>
      </c>
      <c r="F93" s="4" t="str">
        <f t="shared" si="1"/>
        <v>11</v>
      </c>
      <c r="G93" s="4" t="str">
        <f t="shared" si="2"/>
        <v>05</v>
      </c>
      <c r="H93" s="7" t="str">
        <f t="shared" si="3"/>
        <v>05/11/2018</v>
      </c>
      <c r="I93" s="3" t="s">
        <v>183</v>
      </c>
      <c r="J93" s="4" t="str">
        <f t="shared" si="4"/>
        <v>10</v>
      </c>
      <c r="K93" s="4" t="str">
        <f t="shared" si="5"/>
        <v>52</v>
      </c>
      <c r="L93" s="4" t="str">
        <f t="shared" si="6"/>
        <v>52</v>
      </c>
      <c r="M93" s="7" t="str">
        <f t="shared" si="7"/>
        <v>10:52:52</v>
      </c>
      <c r="N93" s="3" t="s">
        <v>9</v>
      </c>
      <c r="O93" s="3" t="s">
        <v>10</v>
      </c>
      <c r="P93" s="3" t="s">
        <v>11</v>
      </c>
    </row>
    <row r="94" spans="1:16" ht="15.75" customHeight="1" x14ac:dyDescent="0.3">
      <c r="A94" s="10" t="s">
        <v>5</v>
      </c>
      <c r="B94" s="3" t="s">
        <v>5</v>
      </c>
      <c r="C94" s="12" t="str">
        <f t="shared" si="10"/>
        <v>51977369934</v>
      </c>
      <c r="D94" s="3" t="s">
        <v>64</v>
      </c>
      <c r="E94" s="4" t="str">
        <f t="shared" si="0"/>
        <v>2018</v>
      </c>
      <c r="F94" s="4" t="str">
        <f t="shared" si="1"/>
        <v>12</v>
      </c>
      <c r="G94" s="4" t="str">
        <f t="shared" si="2"/>
        <v>27</v>
      </c>
      <c r="H94" s="7" t="str">
        <f t="shared" si="3"/>
        <v>27/12/2018</v>
      </c>
      <c r="I94" s="3" t="s">
        <v>184</v>
      </c>
      <c r="J94" s="4" t="str">
        <f t="shared" si="4"/>
        <v>14</v>
      </c>
      <c r="K94" s="4" t="str">
        <f t="shared" si="5"/>
        <v>38</v>
      </c>
      <c r="L94" s="4" t="str">
        <f t="shared" si="6"/>
        <v>36</v>
      </c>
      <c r="M94" s="7" t="str">
        <f t="shared" si="7"/>
        <v>14:38:36</v>
      </c>
      <c r="N94" s="3" t="s">
        <v>185</v>
      </c>
      <c r="O94" s="3" t="s">
        <v>10</v>
      </c>
      <c r="P94" s="3" t="s">
        <v>11</v>
      </c>
    </row>
    <row r="95" spans="1:16" ht="15.75" customHeight="1" x14ac:dyDescent="0.3">
      <c r="A95" s="10" t="s">
        <v>5</v>
      </c>
      <c r="B95" s="3" t="s">
        <v>5</v>
      </c>
      <c r="C95" s="12" t="str">
        <f t="shared" si="10"/>
        <v>51977369934</v>
      </c>
      <c r="D95" s="3" t="s">
        <v>64</v>
      </c>
      <c r="E95" s="4" t="str">
        <f t="shared" si="0"/>
        <v>2018</v>
      </c>
      <c r="F95" s="4" t="str">
        <f t="shared" si="1"/>
        <v>12</v>
      </c>
      <c r="G95" s="4" t="str">
        <f t="shared" si="2"/>
        <v>27</v>
      </c>
      <c r="H95" s="7" t="str">
        <f t="shared" si="3"/>
        <v>27/12/2018</v>
      </c>
      <c r="I95" s="3" t="s">
        <v>186</v>
      </c>
      <c r="J95" s="4" t="str">
        <f t="shared" si="4"/>
        <v>14</v>
      </c>
      <c r="K95" s="4" t="str">
        <f t="shared" si="5"/>
        <v>39</v>
      </c>
      <c r="L95" s="4" t="str">
        <f t="shared" si="6"/>
        <v>30</v>
      </c>
      <c r="M95" s="7" t="str">
        <f t="shared" si="7"/>
        <v>14:39:30</v>
      </c>
      <c r="N95" s="3" t="s">
        <v>187</v>
      </c>
      <c r="O95" s="3" t="s">
        <v>10</v>
      </c>
      <c r="P95" s="3" t="s">
        <v>11</v>
      </c>
    </row>
    <row r="96" spans="1:16" ht="15.75" customHeight="1" x14ac:dyDescent="0.3">
      <c r="A96" s="10" t="s">
        <v>5</v>
      </c>
      <c r="B96" s="3" t="s">
        <v>5</v>
      </c>
      <c r="C96" s="12" t="str">
        <f t="shared" si="10"/>
        <v>51977369934</v>
      </c>
      <c r="D96" s="3" t="s">
        <v>43</v>
      </c>
      <c r="E96" s="4" t="str">
        <f t="shared" si="0"/>
        <v>2018</v>
      </c>
      <c r="F96" s="4" t="str">
        <f t="shared" si="1"/>
        <v>10</v>
      </c>
      <c r="G96" s="4" t="str">
        <f t="shared" si="2"/>
        <v>25</v>
      </c>
      <c r="H96" s="7" t="str">
        <f t="shared" si="3"/>
        <v>25/10/2018</v>
      </c>
      <c r="I96" s="3" t="s">
        <v>188</v>
      </c>
      <c r="J96" s="4" t="str">
        <f t="shared" si="4"/>
        <v>07</v>
      </c>
      <c r="K96" s="4" t="str">
        <f t="shared" si="5"/>
        <v>42</v>
      </c>
      <c r="L96" s="4" t="str">
        <f t="shared" si="6"/>
        <v>46</v>
      </c>
      <c r="M96" s="7" t="str">
        <f t="shared" si="7"/>
        <v>07:42:46</v>
      </c>
      <c r="N96" s="3" t="s">
        <v>189</v>
      </c>
      <c r="O96" s="3" t="s">
        <v>10</v>
      </c>
      <c r="P96" s="3" t="s">
        <v>11</v>
      </c>
    </row>
    <row r="97" spans="1:16" ht="15.75" customHeight="1" x14ac:dyDescent="0.3">
      <c r="A97" s="10" t="s">
        <v>5</v>
      </c>
      <c r="B97" s="3" t="s">
        <v>5</v>
      </c>
      <c r="C97" s="12" t="str">
        <f t="shared" si="10"/>
        <v>51977369934</v>
      </c>
      <c r="D97" s="3" t="s">
        <v>72</v>
      </c>
      <c r="E97" s="4" t="str">
        <f t="shared" si="0"/>
        <v>2018</v>
      </c>
      <c r="F97" s="4" t="str">
        <f t="shared" si="1"/>
        <v>10</v>
      </c>
      <c r="G97" s="4" t="str">
        <f t="shared" si="2"/>
        <v>29</v>
      </c>
      <c r="H97" s="7" t="str">
        <f t="shared" si="3"/>
        <v>29/10/2018</v>
      </c>
      <c r="I97" s="3" t="s">
        <v>190</v>
      </c>
      <c r="J97" s="4" t="str">
        <f t="shared" si="4"/>
        <v>12</v>
      </c>
      <c r="K97" s="4" t="str">
        <f t="shared" si="5"/>
        <v>26</v>
      </c>
      <c r="L97" s="4" t="str">
        <f t="shared" si="6"/>
        <v>13</v>
      </c>
      <c r="M97" s="7" t="str">
        <f t="shared" si="7"/>
        <v>12:26:13</v>
      </c>
      <c r="N97" s="3" t="s">
        <v>191</v>
      </c>
      <c r="O97" s="3" t="s">
        <v>10</v>
      </c>
      <c r="P97" s="3" t="s">
        <v>11</v>
      </c>
    </row>
    <row r="98" spans="1:16" ht="15.75" customHeight="1" x14ac:dyDescent="0.3">
      <c r="A98" s="10" t="s">
        <v>5</v>
      </c>
      <c r="B98" s="3" t="s">
        <v>5</v>
      </c>
      <c r="C98" s="12" t="str">
        <f t="shared" si="10"/>
        <v>51977369934</v>
      </c>
      <c r="D98" s="3" t="s">
        <v>75</v>
      </c>
      <c r="E98" s="4" t="str">
        <f t="shared" si="0"/>
        <v>2018</v>
      </c>
      <c r="F98" s="4" t="str">
        <f t="shared" si="1"/>
        <v>11</v>
      </c>
      <c r="G98" s="4" t="str">
        <f t="shared" si="2"/>
        <v>26</v>
      </c>
      <c r="H98" s="7" t="str">
        <f t="shared" si="3"/>
        <v>26/11/2018</v>
      </c>
      <c r="I98" s="3" t="s">
        <v>192</v>
      </c>
      <c r="J98" s="4" t="str">
        <f t="shared" si="4"/>
        <v>13</v>
      </c>
      <c r="K98" s="4" t="str">
        <f t="shared" si="5"/>
        <v>41</v>
      </c>
      <c r="L98" s="4" t="str">
        <f t="shared" si="6"/>
        <v>41</v>
      </c>
      <c r="M98" s="7" t="str">
        <f t="shared" si="7"/>
        <v>13:41:41</v>
      </c>
      <c r="N98" s="3" t="s">
        <v>193</v>
      </c>
      <c r="O98" s="3" t="s">
        <v>10</v>
      </c>
      <c r="P98" s="3" t="s">
        <v>11</v>
      </c>
    </row>
    <row r="99" spans="1:16" ht="15.75" customHeight="1" x14ac:dyDescent="0.3">
      <c r="A99" s="10" t="s">
        <v>5</v>
      </c>
      <c r="B99" s="3" t="s">
        <v>5</v>
      </c>
      <c r="C99" s="12" t="str">
        <f t="shared" si="10"/>
        <v>51977369934</v>
      </c>
      <c r="D99" s="3" t="s">
        <v>19</v>
      </c>
      <c r="E99" s="4" t="str">
        <f t="shared" si="0"/>
        <v>2018</v>
      </c>
      <c r="F99" s="4" t="str">
        <f t="shared" si="1"/>
        <v>12</v>
      </c>
      <c r="G99" s="4" t="str">
        <f t="shared" si="2"/>
        <v>26</v>
      </c>
      <c r="H99" s="7" t="str">
        <f t="shared" si="3"/>
        <v>26/12/2018</v>
      </c>
      <c r="I99" s="3" t="s">
        <v>194</v>
      </c>
      <c r="J99" s="4" t="str">
        <f t="shared" si="4"/>
        <v>16</v>
      </c>
      <c r="K99" s="4" t="str">
        <f t="shared" si="5"/>
        <v>33</v>
      </c>
      <c r="L99" s="4" t="str">
        <f t="shared" si="6"/>
        <v>00</v>
      </c>
      <c r="M99" s="7" t="str">
        <f t="shared" si="7"/>
        <v>16:33:00</v>
      </c>
      <c r="N99" s="3" t="s">
        <v>195</v>
      </c>
      <c r="O99" s="3" t="s">
        <v>10</v>
      </c>
      <c r="P99" s="3" t="s">
        <v>11</v>
      </c>
    </row>
    <row r="100" spans="1:16" ht="15.75" customHeight="1" x14ac:dyDescent="0.3">
      <c r="A100" s="10" t="s">
        <v>5</v>
      </c>
      <c r="B100" s="3" t="s">
        <v>5</v>
      </c>
      <c r="C100" s="12" t="str">
        <f t="shared" si="10"/>
        <v>51977369934</v>
      </c>
      <c r="D100" s="3" t="s">
        <v>72</v>
      </c>
      <c r="E100" s="4" t="str">
        <f t="shared" si="0"/>
        <v>2018</v>
      </c>
      <c r="F100" s="4" t="str">
        <f t="shared" si="1"/>
        <v>10</v>
      </c>
      <c r="G100" s="4" t="str">
        <f t="shared" si="2"/>
        <v>29</v>
      </c>
      <c r="H100" s="7" t="str">
        <f t="shared" si="3"/>
        <v>29/10/2018</v>
      </c>
      <c r="I100" s="3" t="s">
        <v>196</v>
      </c>
      <c r="J100" s="4" t="str">
        <f t="shared" si="4"/>
        <v>17</v>
      </c>
      <c r="K100" s="4" t="str">
        <f t="shared" si="5"/>
        <v>19</v>
      </c>
      <c r="L100" s="4" t="str">
        <f t="shared" si="6"/>
        <v>52</v>
      </c>
      <c r="M100" s="7" t="str">
        <f t="shared" si="7"/>
        <v>17:19:52</v>
      </c>
      <c r="N100" s="3" t="s">
        <v>197</v>
      </c>
      <c r="O100" s="3" t="s">
        <v>10</v>
      </c>
      <c r="P100" s="3" t="s">
        <v>11</v>
      </c>
    </row>
    <row r="101" spans="1:16" ht="15.75" customHeight="1" x14ac:dyDescent="0.3">
      <c r="E101" s="5"/>
      <c r="F101" s="5"/>
      <c r="G101" s="5"/>
      <c r="H101" s="8"/>
      <c r="J101" s="5"/>
      <c r="K101" s="5"/>
      <c r="L101" s="5"/>
      <c r="M101" s="8"/>
    </row>
    <row r="102" spans="1:16" ht="15.75" customHeight="1" x14ac:dyDescent="0.3">
      <c r="E102" s="5"/>
      <c r="F102" s="5"/>
      <c r="G102" s="5"/>
      <c r="H102" s="8"/>
      <c r="J102" s="5"/>
      <c r="K102" s="5"/>
      <c r="L102" s="5"/>
      <c r="M102" s="8"/>
    </row>
    <row r="103" spans="1:16" ht="15.75" customHeight="1" x14ac:dyDescent="0.3">
      <c r="E103" s="5"/>
      <c r="F103" s="5"/>
      <c r="G103" s="5"/>
      <c r="H103" s="8"/>
      <c r="J103" s="5"/>
      <c r="K103" s="5"/>
      <c r="L103" s="5"/>
      <c r="M103" s="8"/>
    </row>
    <row r="104" spans="1:16" ht="15.75" customHeight="1" x14ac:dyDescent="0.3">
      <c r="E104" s="5"/>
      <c r="F104" s="5"/>
      <c r="G104" s="5"/>
      <c r="H104" s="8"/>
      <c r="J104" s="5"/>
      <c r="K104" s="5"/>
      <c r="L104" s="5"/>
      <c r="M104" s="8"/>
    </row>
    <row r="105" spans="1:16" ht="15.75" customHeight="1" x14ac:dyDescent="0.3">
      <c r="E105" s="5"/>
      <c r="F105" s="5"/>
      <c r="G105" s="5"/>
      <c r="H105" s="8"/>
      <c r="J105" s="5"/>
      <c r="K105" s="5"/>
      <c r="L105" s="5"/>
      <c r="M105" s="8"/>
    </row>
    <row r="106" spans="1:16" ht="15.75" customHeight="1" x14ac:dyDescent="0.3">
      <c r="E106" s="5"/>
      <c r="F106" s="5"/>
      <c r="G106" s="5"/>
      <c r="H106" s="8"/>
      <c r="J106" s="5"/>
      <c r="K106" s="5"/>
      <c r="L106" s="5"/>
      <c r="M106" s="8"/>
    </row>
    <row r="107" spans="1:16" ht="15.75" customHeight="1" x14ac:dyDescent="0.3">
      <c r="E107" s="5"/>
      <c r="F107" s="5"/>
      <c r="G107" s="5"/>
      <c r="H107" s="8"/>
      <c r="J107" s="5"/>
      <c r="K107" s="5"/>
      <c r="L107" s="5"/>
      <c r="M107" s="8"/>
    </row>
    <row r="108" spans="1:16" ht="15.75" customHeight="1" x14ac:dyDescent="0.3">
      <c r="E108" s="5"/>
      <c r="F108" s="5"/>
      <c r="G108" s="5"/>
      <c r="H108" s="8"/>
      <c r="J108" s="5"/>
      <c r="K108" s="5"/>
      <c r="L108" s="5"/>
      <c r="M108" s="8"/>
    </row>
    <row r="109" spans="1:16" ht="15.75" customHeight="1" x14ac:dyDescent="0.3">
      <c r="E109" s="5"/>
      <c r="F109" s="5"/>
      <c r="G109" s="5"/>
      <c r="H109" s="8"/>
      <c r="J109" s="5"/>
      <c r="K109" s="5"/>
      <c r="L109" s="5"/>
      <c r="M109" s="8"/>
    </row>
    <row r="110" spans="1:16" ht="15.75" customHeight="1" x14ac:dyDescent="0.3">
      <c r="E110" s="5"/>
      <c r="F110" s="5"/>
      <c r="G110" s="5"/>
      <c r="H110" s="8"/>
      <c r="J110" s="5"/>
      <c r="K110" s="5"/>
      <c r="L110" s="5"/>
      <c r="M110" s="8"/>
    </row>
    <row r="111" spans="1:16" ht="15.75" customHeight="1" x14ac:dyDescent="0.3">
      <c r="E111" s="5"/>
      <c r="F111" s="5"/>
      <c r="G111" s="5"/>
      <c r="H111" s="8"/>
      <c r="J111" s="5"/>
      <c r="K111" s="5"/>
      <c r="L111" s="5"/>
      <c r="M111" s="8"/>
    </row>
    <row r="112" spans="1:16" ht="15.75" customHeight="1" x14ac:dyDescent="0.3">
      <c r="E112" s="5"/>
      <c r="F112" s="5"/>
      <c r="G112" s="5"/>
      <c r="H112" s="8"/>
      <c r="J112" s="5"/>
      <c r="K112" s="5"/>
      <c r="L112" s="5"/>
      <c r="M112" s="8"/>
    </row>
    <row r="113" spans="5:13" ht="15.75" customHeight="1" x14ac:dyDescent="0.3">
      <c r="E113" s="5"/>
      <c r="F113" s="5"/>
      <c r="G113" s="5"/>
      <c r="H113" s="8"/>
      <c r="J113" s="5"/>
      <c r="K113" s="5"/>
      <c r="L113" s="5"/>
      <c r="M113" s="8"/>
    </row>
    <row r="114" spans="5:13" ht="15.75" customHeight="1" x14ac:dyDescent="0.3">
      <c r="E114" s="5"/>
      <c r="F114" s="5"/>
      <c r="G114" s="5"/>
      <c r="H114" s="8"/>
      <c r="J114" s="5"/>
      <c r="K114" s="5"/>
      <c r="L114" s="5"/>
      <c r="M114" s="8"/>
    </row>
    <row r="115" spans="5:13" ht="15.75" customHeight="1" x14ac:dyDescent="0.3">
      <c r="E115" s="5"/>
      <c r="F115" s="5"/>
      <c r="G115" s="5"/>
      <c r="H115" s="8"/>
      <c r="J115" s="5"/>
      <c r="K115" s="5"/>
      <c r="L115" s="5"/>
      <c r="M115" s="8"/>
    </row>
    <row r="116" spans="5:13" ht="15.75" customHeight="1" x14ac:dyDescent="0.3">
      <c r="E116" s="5"/>
      <c r="F116" s="5"/>
      <c r="G116" s="5"/>
      <c r="H116" s="8"/>
      <c r="J116" s="5"/>
      <c r="K116" s="5"/>
      <c r="L116" s="5"/>
      <c r="M116" s="8"/>
    </row>
    <row r="117" spans="5:13" ht="15.75" customHeight="1" x14ac:dyDescent="0.3">
      <c r="E117" s="5"/>
      <c r="F117" s="5"/>
      <c r="G117" s="5"/>
      <c r="H117" s="8"/>
      <c r="J117" s="5"/>
      <c r="K117" s="5"/>
      <c r="L117" s="5"/>
      <c r="M117" s="8"/>
    </row>
    <row r="118" spans="5:13" ht="15.75" customHeight="1" x14ac:dyDescent="0.3">
      <c r="E118" s="5"/>
      <c r="F118" s="5"/>
      <c r="G118" s="5"/>
      <c r="H118" s="8"/>
      <c r="J118" s="5"/>
      <c r="K118" s="5"/>
      <c r="L118" s="5"/>
      <c r="M118" s="8"/>
    </row>
    <row r="119" spans="5:13" ht="15.75" customHeight="1" x14ac:dyDescent="0.3">
      <c r="E119" s="5"/>
      <c r="F119" s="5"/>
      <c r="G119" s="5"/>
      <c r="H119" s="8"/>
      <c r="J119" s="5"/>
      <c r="K119" s="5"/>
      <c r="L119" s="5"/>
      <c r="M119" s="8"/>
    </row>
    <row r="120" spans="5:13" ht="15.75" customHeight="1" x14ac:dyDescent="0.3">
      <c r="E120" s="5"/>
      <c r="F120" s="5"/>
      <c r="G120" s="5"/>
      <c r="H120" s="8"/>
      <c r="J120" s="5"/>
      <c r="K120" s="5"/>
      <c r="L120" s="5"/>
      <c r="M120" s="8"/>
    </row>
    <row r="121" spans="5:13" ht="15.75" customHeight="1" x14ac:dyDescent="0.3">
      <c r="E121" s="5"/>
      <c r="F121" s="5"/>
      <c r="G121" s="5"/>
      <c r="H121" s="8"/>
      <c r="J121" s="5"/>
      <c r="K121" s="5"/>
      <c r="L121" s="5"/>
      <c r="M121" s="8"/>
    </row>
    <row r="122" spans="5:13" ht="15.75" customHeight="1" x14ac:dyDescent="0.3">
      <c r="E122" s="5"/>
      <c r="F122" s="5"/>
      <c r="G122" s="5"/>
      <c r="H122" s="8"/>
      <c r="J122" s="5"/>
      <c r="K122" s="5"/>
      <c r="L122" s="5"/>
      <c r="M122" s="8"/>
    </row>
    <row r="123" spans="5:13" ht="15.75" customHeight="1" x14ac:dyDescent="0.3">
      <c r="E123" s="5"/>
      <c r="F123" s="5"/>
      <c r="G123" s="5"/>
      <c r="H123" s="8"/>
      <c r="J123" s="5"/>
      <c r="K123" s="5"/>
      <c r="L123" s="5"/>
      <c r="M123" s="8"/>
    </row>
    <row r="124" spans="5:13" ht="15.75" customHeight="1" x14ac:dyDescent="0.3">
      <c r="E124" s="5"/>
      <c r="F124" s="5"/>
      <c r="G124" s="5"/>
      <c r="H124" s="8"/>
      <c r="J124" s="5"/>
      <c r="K124" s="5"/>
      <c r="L124" s="5"/>
      <c r="M124" s="8"/>
    </row>
    <row r="125" spans="5:13" ht="15.75" customHeight="1" x14ac:dyDescent="0.3">
      <c r="E125" s="5"/>
      <c r="F125" s="5"/>
      <c r="G125" s="5"/>
      <c r="H125" s="8"/>
      <c r="J125" s="5"/>
      <c r="K125" s="5"/>
      <c r="L125" s="5"/>
      <c r="M125" s="8"/>
    </row>
    <row r="126" spans="5:13" ht="15.75" customHeight="1" x14ac:dyDescent="0.3">
      <c r="E126" s="5"/>
      <c r="F126" s="5"/>
      <c r="G126" s="5"/>
      <c r="H126" s="8"/>
      <c r="J126" s="5"/>
      <c r="K126" s="5"/>
      <c r="L126" s="5"/>
      <c r="M126" s="8"/>
    </row>
    <row r="127" spans="5:13" ht="15.75" customHeight="1" x14ac:dyDescent="0.3">
      <c r="E127" s="5"/>
      <c r="F127" s="5"/>
      <c r="G127" s="5"/>
      <c r="H127" s="8"/>
      <c r="J127" s="5"/>
      <c r="K127" s="5"/>
      <c r="L127" s="5"/>
      <c r="M127" s="8"/>
    </row>
    <row r="128" spans="5:13" ht="15.75" customHeight="1" x14ac:dyDescent="0.3">
      <c r="E128" s="5"/>
      <c r="F128" s="5"/>
      <c r="G128" s="5"/>
      <c r="H128" s="8"/>
      <c r="J128" s="5"/>
      <c r="K128" s="5"/>
      <c r="L128" s="5"/>
      <c r="M128" s="8"/>
    </row>
    <row r="129" spans="5:13" ht="15.75" customHeight="1" x14ac:dyDescent="0.3">
      <c r="E129" s="5"/>
      <c r="F129" s="5"/>
      <c r="G129" s="5"/>
      <c r="H129" s="8"/>
      <c r="J129" s="5"/>
      <c r="K129" s="5"/>
      <c r="L129" s="5"/>
      <c r="M129" s="8"/>
    </row>
    <row r="130" spans="5:13" ht="15.75" customHeight="1" x14ac:dyDescent="0.3">
      <c r="E130" s="5"/>
      <c r="F130" s="5"/>
      <c r="G130" s="5"/>
      <c r="H130" s="8"/>
      <c r="J130" s="5"/>
      <c r="K130" s="5"/>
      <c r="L130" s="5"/>
      <c r="M130" s="8"/>
    </row>
    <row r="131" spans="5:13" ht="15.75" customHeight="1" x14ac:dyDescent="0.3">
      <c r="E131" s="5"/>
      <c r="F131" s="5"/>
      <c r="G131" s="5"/>
      <c r="H131" s="8"/>
      <c r="J131" s="5"/>
      <c r="K131" s="5"/>
      <c r="L131" s="5"/>
      <c r="M131" s="8"/>
    </row>
    <row r="132" spans="5:13" ht="15.75" customHeight="1" x14ac:dyDescent="0.3">
      <c r="E132" s="5"/>
      <c r="F132" s="5"/>
      <c r="G132" s="5"/>
      <c r="H132" s="8"/>
      <c r="J132" s="5"/>
      <c r="K132" s="5"/>
      <c r="L132" s="5"/>
      <c r="M132" s="8"/>
    </row>
    <row r="133" spans="5:13" ht="15.75" customHeight="1" x14ac:dyDescent="0.3">
      <c r="E133" s="5"/>
      <c r="F133" s="5"/>
      <c r="G133" s="5"/>
      <c r="H133" s="8"/>
      <c r="J133" s="5"/>
      <c r="K133" s="5"/>
      <c r="L133" s="5"/>
      <c r="M133" s="8"/>
    </row>
    <row r="134" spans="5:13" ht="15.75" customHeight="1" x14ac:dyDescent="0.3">
      <c r="E134" s="5"/>
      <c r="F134" s="5"/>
      <c r="G134" s="5"/>
      <c r="H134" s="8"/>
      <c r="J134" s="5"/>
      <c r="K134" s="5"/>
      <c r="L134" s="5"/>
      <c r="M134" s="8"/>
    </row>
    <row r="135" spans="5:13" ht="15.75" customHeight="1" x14ac:dyDescent="0.3">
      <c r="E135" s="5"/>
      <c r="F135" s="5"/>
      <c r="G135" s="5"/>
      <c r="H135" s="8"/>
      <c r="J135" s="5"/>
      <c r="K135" s="5"/>
      <c r="L135" s="5"/>
      <c r="M135" s="8"/>
    </row>
    <row r="136" spans="5:13" ht="15.75" customHeight="1" x14ac:dyDescent="0.3">
      <c r="E136" s="5"/>
      <c r="F136" s="5"/>
      <c r="G136" s="5"/>
      <c r="H136" s="8"/>
      <c r="J136" s="5"/>
      <c r="K136" s="5"/>
      <c r="L136" s="5"/>
      <c r="M136" s="8"/>
    </row>
    <row r="137" spans="5:13" ht="15.75" customHeight="1" x14ac:dyDescent="0.3">
      <c r="E137" s="5"/>
      <c r="F137" s="5"/>
      <c r="G137" s="5"/>
      <c r="H137" s="8"/>
      <c r="J137" s="5"/>
      <c r="K137" s="5"/>
      <c r="L137" s="5"/>
      <c r="M137" s="8"/>
    </row>
    <row r="138" spans="5:13" ht="15.75" customHeight="1" x14ac:dyDescent="0.3">
      <c r="E138" s="5"/>
      <c r="F138" s="5"/>
      <c r="G138" s="5"/>
      <c r="H138" s="8"/>
      <c r="J138" s="5"/>
      <c r="K138" s="5"/>
      <c r="L138" s="5"/>
      <c r="M138" s="8"/>
    </row>
    <row r="139" spans="5:13" ht="15.75" customHeight="1" x14ac:dyDescent="0.3">
      <c r="E139" s="5"/>
      <c r="F139" s="5"/>
      <c r="G139" s="5"/>
      <c r="H139" s="8"/>
      <c r="J139" s="5"/>
      <c r="K139" s="5"/>
      <c r="L139" s="5"/>
      <c r="M139" s="8"/>
    </row>
    <row r="140" spans="5:13" ht="15.75" customHeight="1" x14ac:dyDescent="0.3">
      <c r="E140" s="5"/>
      <c r="F140" s="5"/>
      <c r="G140" s="5"/>
      <c r="H140" s="8"/>
      <c r="J140" s="5"/>
      <c r="K140" s="5"/>
      <c r="L140" s="5"/>
      <c r="M140" s="8"/>
    </row>
    <row r="141" spans="5:13" ht="15.75" customHeight="1" x14ac:dyDescent="0.3">
      <c r="E141" s="5"/>
      <c r="F141" s="5"/>
      <c r="G141" s="5"/>
      <c r="H141" s="8"/>
      <c r="J141" s="5"/>
      <c r="K141" s="5"/>
      <c r="L141" s="5"/>
      <c r="M141" s="8"/>
    </row>
    <row r="142" spans="5:13" ht="15.75" customHeight="1" x14ac:dyDescent="0.3">
      <c r="E142" s="5"/>
      <c r="F142" s="5"/>
      <c r="G142" s="5"/>
      <c r="H142" s="8"/>
      <c r="J142" s="5"/>
      <c r="K142" s="5"/>
      <c r="L142" s="5"/>
      <c r="M142" s="8"/>
    </row>
    <row r="143" spans="5:13" ht="15.75" customHeight="1" x14ac:dyDescent="0.3">
      <c r="E143" s="5"/>
      <c r="F143" s="5"/>
      <c r="G143" s="5"/>
      <c r="H143" s="8"/>
      <c r="J143" s="5"/>
      <c r="K143" s="5"/>
      <c r="L143" s="5"/>
      <c r="M143" s="8"/>
    </row>
    <row r="144" spans="5:13" ht="15.75" customHeight="1" x14ac:dyDescent="0.3">
      <c r="E144" s="5"/>
      <c r="F144" s="5"/>
      <c r="G144" s="5"/>
      <c r="H144" s="8"/>
      <c r="J144" s="5"/>
      <c r="K144" s="5"/>
      <c r="L144" s="5"/>
      <c r="M144" s="8"/>
    </row>
    <row r="145" spans="5:13" ht="15.75" customHeight="1" x14ac:dyDescent="0.3">
      <c r="E145" s="5"/>
      <c r="F145" s="5"/>
      <c r="G145" s="5"/>
      <c r="H145" s="8"/>
      <c r="J145" s="5"/>
      <c r="K145" s="5"/>
      <c r="L145" s="5"/>
      <c r="M145" s="8"/>
    </row>
    <row r="146" spans="5:13" ht="15.75" customHeight="1" x14ac:dyDescent="0.3">
      <c r="E146" s="5"/>
      <c r="F146" s="5"/>
      <c r="G146" s="5"/>
      <c r="H146" s="8"/>
      <c r="J146" s="5"/>
      <c r="K146" s="5"/>
      <c r="L146" s="5"/>
      <c r="M146" s="8"/>
    </row>
    <row r="147" spans="5:13" ht="15.75" customHeight="1" x14ac:dyDescent="0.3">
      <c r="E147" s="5"/>
      <c r="F147" s="5"/>
      <c r="G147" s="5"/>
      <c r="H147" s="8"/>
      <c r="J147" s="5"/>
      <c r="K147" s="5"/>
      <c r="L147" s="5"/>
      <c r="M147" s="8"/>
    </row>
    <row r="148" spans="5:13" ht="15.75" customHeight="1" x14ac:dyDescent="0.3">
      <c r="E148" s="5"/>
      <c r="F148" s="5"/>
      <c r="G148" s="5"/>
      <c r="H148" s="8"/>
      <c r="J148" s="5"/>
      <c r="K148" s="5"/>
      <c r="L148" s="5"/>
      <c r="M148" s="8"/>
    </row>
    <row r="149" spans="5:13" ht="15.75" customHeight="1" x14ac:dyDescent="0.3">
      <c r="E149" s="5"/>
      <c r="F149" s="5"/>
      <c r="G149" s="5"/>
      <c r="H149" s="8"/>
      <c r="J149" s="5"/>
      <c r="K149" s="5"/>
      <c r="L149" s="5"/>
      <c r="M149" s="8"/>
    </row>
    <row r="150" spans="5:13" ht="15.75" customHeight="1" x14ac:dyDescent="0.3">
      <c r="E150" s="5"/>
      <c r="F150" s="5"/>
      <c r="G150" s="5"/>
      <c r="H150" s="8"/>
      <c r="J150" s="5"/>
      <c r="K150" s="5"/>
      <c r="L150" s="5"/>
      <c r="M150" s="8"/>
    </row>
    <row r="151" spans="5:13" ht="15.75" customHeight="1" x14ac:dyDescent="0.3">
      <c r="E151" s="5"/>
      <c r="F151" s="5"/>
      <c r="G151" s="5"/>
      <c r="H151" s="8"/>
      <c r="J151" s="5"/>
      <c r="K151" s="5"/>
      <c r="L151" s="5"/>
      <c r="M151" s="8"/>
    </row>
    <row r="152" spans="5:13" ht="15.75" customHeight="1" x14ac:dyDescent="0.3">
      <c r="E152" s="5"/>
      <c r="F152" s="5"/>
      <c r="G152" s="5"/>
      <c r="H152" s="8"/>
      <c r="J152" s="5"/>
      <c r="K152" s="5"/>
      <c r="L152" s="5"/>
      <c r="M152" s="8"/>
    </row>
    <row r="153" spans="5:13" ht="15.75" customHeight="1" x14ac:dyDescent="0.3">
      <c r="E153" s="5"/>
      <c r="F153" s="5"/>
      <c r="G153" s="5"/>
      <c r="H153" s="8"/>
      <c r="J153" s="5"/>
      <c r="K153" s="5"/>
      <c r="L153" s="5"/>
      <c r="M153" s="8"/>
    </row>
    <row r="154" spans="5:13" ht="15.75" customHeight="1" x14ac:dyDescent="0.3">
      <c r="E154" s="5"/>
      <c r="F154" s="5"/>
      <c r="G154" s="5"/>
      <c r="H154" s="8"/>
      <c r="J154" s="5"/>
      <c r="K154" s="5"/>
      <c r="L154" s="5"/>
      <c r="M154" s="8"/>
    </row>
    <row r="155" spans="5:13" ht="15.75" customHeight="1" x14ac:dyDescent="0.3">
      <c r="E155" s="5"/>
      <c r="F155" s="5"/>
      <c r="G155" s="5"/>
      <c r="H155" s="8"/>
      <c r="J155" s="5"/>
      <c r="K155" s="5"/>
      <c r="L155" s="5"/>
      <c r="M155" s="8"/>
    </row>
    <row r="156" spans="5:13" ht="15.75" customHeight="1" x14ac:dyDescent="0.3">
      <c r="E156" s="5"/>
      <c r="F156" s="5"/>
      <c r="G156" s="5"/>
      <c r="H156" s="8"/>
      <c r="J156" s="5"/>
      <c r="K156" s="5"/>
      <c r="L156" s="5"/>
      <c r="M156" s="8"/>
    </row>
    <row r="157" spans="5:13" ht="15.75" customHeight="1" x14ac:dyDescent="0.3">
      <c r="E157" s="5"/>
      <c r="F157" s="5"/>
      <c r="G157" s="5"/>
      <c r="H157" s="8"/>
      <c r="J157" s="5"/>
      <c r="K157" s="5"/>
      <c r="L157" s="5"/>
      <c r="M157" s="8"/>
    </row>
    <row r="158" spans="5:13" ht="15.75" customHeight="1" x14ac:dyDescent="0.3">
      <c r="E158" s="5"/>
      <c r="F158" s="5"/>
      <c r="G158" s="5"/>
      <c r="H158" s="8"/>
      <c r="J158" s="5"/>
      <c r="K158" s="5"/>
      <c r="L158" s="5"/>
      <c r="M158" s="8"/>
    </row>
    <row r="159" spans="5:13" ht="15.75" customHeight="1" x14ac:dyDescent="0.3">
      <c r="E159" s="5"/>
      <c r="F159" s="5"/>
      <c r="G159" s="5"/>
      <c r="H159" s="8"/>
      <c r="J159" s="5"/>
      <c r="K159" s="5"/>
      <c r="L159" s="5"/>
      <c r="M159" s="8"/>
    </row>
    <row r="160" spans="5:13" ht="15.75" customHeight="1" x14ac:dyDescent="0.3">
      <c r="E160" s="5"/>
      <c r="F160" s="5"/>
      <c r="G160" s="5"/>
      <c r="H160" s="8"/>
      <c r="J160" s="5"/>
      <c r="K160" s="5"/>
      <c r="L160" s="5"/>
      <c r="M160" s="8"/>
    </row>
    <row r="161" spans="5:13" ht="15.75" customHeight="1" x14ac:dyDescent="0.3">
      <c r="E161" s="5"/>
      <c r="F161" s="5"/>
      <c r="G161" s="5"/>
      <c r="H161" s="8"/>
      <c r="J161" s="5"/>
      <c r="K161" s="5"/>
      <c r="L161" s="5"/>
      <c r="M161" s="8"/>
    </row>
    <row r="162" spans="5:13" ht="15.75" customHeight="1" x14ac:dyDescent="0.3">
      <c r="E162" s="5"/>
      <c r="F162" s="5"/>
      <c r="G162" s="5"/>
      <c r="H162" s="8"/>
      <c r="J162" s="5"/>
      <c r="K162" s="5"/>
      <c r="L162" s="5"/>
      <c r="M162" s="8"/>
    </row>
    <row r="163" spans="5:13" ht="15.75" customHeight="1" x14ac:dyDescent="0.3">
      <c r="E163" s="5"/>
      <c r="F163" s="5"/>
      <c r="G163" s="5"/>
      <c r="H163" s="8"/>
      <c r="J163" s="5"/>
      <c r="K163" s="5"/>
      <c r="L163" s="5"/>
      <c r="M163" s="8"/>
    </row>
    <row r="164" spans="5:13" ht="15.75" customHeight="1" x14ac:dyDescent="0.3">
      <c r="E164" s="5"/>
      <c r="F164" s="5"/>
      <c r="G164" s="5"/>
      <c r="H164" s="8"/>
      <c r="J164" s="5"/>
      <c r="K164" s="5"/>
      <c r="L164" s="5"/>
      <c r="M164" s="8"/>
    </row>
    <row r="165" spans="5:13" ht="15.75" customHeight="1" x14ac:dyDescent="0.3">
      <c r="E165" s="5"/>
      <c r="F165" s="5"/>
      <c r="G165" s="5"/>
      <c r="H165" s="8"/>
      <c r="J165" s="5"/>
      <c r="K165" s="5"/>
      <c r="L165" s="5"/>
      <c r="M165" s="8"/>
    </row>
    <row r="166" spans="5:13" ht="15.75" customHeight="1" x14ac:dyDescent="0.3">
      <c r="E166" s="5"/>
      <c r="F166" s="5"/>
      <c r="G166" s="5"/>
      <c r="H166" s="8"/>
      <c r="J166" s="5"/>
      <c r="K166" s="5"/>
      <c r="L166" s="5"/>
      <c r="M166" s="8"/>
    </row>
    <row r="167" spans="5:13" ht="15.75" customHeight="1" x14ac:dyDescent="0.3">
      <c r="E167" s="5"/>
      <c r="F167" s="5"/>
      <c r="G167" s="5"/>
      <c r="H167" s="8"/>
      <c r="J167" s="5"/>
      <c r="K167" s="5"/>
      <c r="L167" s="5"/>
      <c r="M167" s="8"/>
    </row>
    <row r="168" spans="5:13" ht="15.75" customHeight="1" x14ac:dyDescent="0.3">
      <c r="E168" s="5"/>
      <c r="F168" s="5"/>
      <c r="G168" s="5"/>
      <c r="H168" s="8"/>
      <c r="J168" s="5"/>
      <c r="K168" s="5"/>
      <c r="L168" s="5"/>
      <c r="M168" s="8"/>
    </row>
    <row r="169" spans="5:13" ht="15.75" customHeight="1" x14ac:dyDescent="0.3">
      <c r="E169" s="5"/>
      <c r="F169" s="5"/>
      <c r="G169" s="5"/>
      <c r="H169" s="8"/>
      <c r="J169" s="5"/>
      <c r="K169" s="5"/>
      <c r="L169" s="5"/>
      <c r="M169" s="8"/>
    </row>
    <row r="170" spans="5:13" ht="15.75" customHeight="1" x14ac:dyDescent="0.3">
      <c r="E170" s="5"/>
      <c r="F170" s="5"/>
      <c r="G170" s="5"/>
      <c r="H170" s="8"/>
      <c r="J170" s="5"/>
      <c r="K170" s="5"/>
      <c r="L170" s="5"/>
      <c r="M170" s="8"/>
    </row>
    <row r="171" spans="5:13" ht="15.75" customHeight="1" x14ac:dyDescent="0.3">
      <c r="E171" s="5"/>
      <c r="F171" s="5"/>
      <c r="G171" s="5"/>
      <c r="H171" s="8"/>
      <c r="J171" s="5"/>
      <c r="K171" s="5"/>
      <c r="L171" s="5"/>
      <c r="M171" s="8"/>
    </row>
    <row r="172" spans="5:13" ht="15.75" customHeight="1" x14ac:dyDescent="0.3">
      <c r="E172" s="5"/>
      <c r="F172" s="5"/>
      <c r="G172" s="5"/>
      <c r="H172" s="8"/>
      <c r="J172" s="5"/>
      <c r="K172" s="5"/>
      <c r="L172" s="5"/>
      <c r="M172" s="8"/>
    </row>
    <row r="173" spans="5:13" ht="15.75" customHeight="1" x14ac:dyDescent="0.3">
      <c r="E173" s="5"/>
      <c r="F173" s="5"/>
      <c r="G173" s="5"/>
      <c r="H173" s="8"/>
      <c r="J173" s="5"/>
      <c r="K173" s="5"/>
      <c r="L173" s="5"/>
      <c r="M173" s="8"/>
    </row>
    <row r="174" spans="5:13" ht="15.75" customHeight="1" x14ac:dyDescent="0.3">
      <c r="E174" s="5"/>
      <c r="F174" s="5"/>
      <c r="G174" s="5"/>
      <c r="H174" s="8"/>
      <c r="J174" s="5"/>
      <c r="K174" s="5"/>
      <c r="L174" s="5"/>
      <c r="M174" s="8"/>
    </row>
    <row r="175" spans="5:13" ht="15.75" customHeight="1" x14ac:dyDescent="0.3">
      <c r="E175" s="5"/>
      <c r="F175" s="5"/>
      <c r="G175" s="5"/>
      <c r="H175" s="8"/>
      <c r="J175" s="5"/>
      <c r="K175" s="5"/>
      <c r="L175" s="5"/>
      <c r="M175" s="8"/>
    </row>
    <row r="176" spans="5:13" ht="15.75" customHeight="1" x14ac:dyDescent="0.3">
      <c r="E176" s="5"/>
      <c r="F176" s="5"/>
      <c r="G176" s="5"/>
      <c r="H176" s="8"/>
      <c r="J176" s="5"/>
      <c r="K176" s="5"/>
      <c r="L176" s="5"/>
      <c r="M176" s="8"/>
    </row>
    <row r="177" spans="5:13" ht="15.75" customHeight="1" x14ac:dyDescent="0.3">
      <c r="E177" s="5"/>
      <c r="F177" s="5"/>
      <c r="G177" s="5"/>
      <c r="H177" s="8"/>
      <c r="J177" s="5"/>
      <c r="K177" s="5"/>
      <c r="L177" s="5"/>
      <c r="M177" s="8"/>
    </row>
    <row r="178" spans="5:13" ht="15.75" customHeight="1" x14ac:dyDescent="0.3">
      <c r="E178" s="5"/>
      <c r="F178" s="5"/>
      <c r="G178" s="5"/>
      <c r="H178" s="8"/>
      <c r="J178" s="5"/>
      <c r="K178" s="5"/>
      <c r="L178" s="5"/>
      <c r="M178" s="8"/>
    </row>
    <row r="179" spans="5:13" ht="15.75" customHeight="1" x14ac:dyDescent="0.3">
      <c r="E179" s="5"/>
      <c r="F179" s="5"/>
      <c r="G179" s="5"/>
      <c r="H179" s="8"/>
      <c r="J179" s="5"/>
      <c r="K179" s="5"/>
      <c r="L179" s="5"/>
      <c r="M179" s="8"/>
    </row>
    <row r="180" spans="5:13" ht="15.75" customHeight="1" x14ac:dyDescent="0.3">
      <c r="E180" s="5"/>
      <c r="F180" s="5"/>
      <c r="G180" s="5"/>
      <c r="H180" s="8"/>
      <c r="J180" s="5"/>
      <c r="K180" s="5"/>
      <c r="L180" s="5"/>
      <c r="M180" s="8"/>
    </row>
    <row r="181" spans="5:13" ht="15.75" customHeight="1" x14ac:dyDescent="0.3">
      <c r="E181" s="5"/>
      <c r="F181" s="5"/>
      <c r="G181" s="5"/>
      <c r="H181" s="8"/>
      <c r="J181" s="5"/>
      <c r="K181" s="5"/>
      <c r="L181" s="5"/>
      <c r="M181" s="8"/>
    </row>
    <row r="182" spans="5:13" ht="15.75" customHeight="1" x14ac:dyDescent="0.3">
      <c r="E182" s="5"/>
      <c r="F182" s="5"/>
      <c r="G182" s="5"/>
      <c r="H182" s="8"/>
      <c r="J182" s="5"/>
      <c r="K182" s="5"/>
      <c r="L182" s="5"/>
      <c r="M182" s="8"/>
    </row>
    <row r="183" spans="5:13" ht="15.75" customHeight="1" x14ac:dyDescent="0.3">
      <c r="E183" s="5"/>
      <c r="F183" s="5"/>
      <c r="G183" s="5"/>
      <c r="H183" s="8"/>
      <c r="J183" s="5"/>
      <c r="K183" s="5"/>
      <c r="L183" s="5"/>
      <c r="M183" s="8"/>
    </row>
    <row r="184" spans="5:13" ht="15.75" customHeight="1" x14ac:dyDescent="0.3">
      <c r="E184" s="5"/>
      <c r="F184" s="5"/>
      <c r="G184" s="5"/>
      <c r="H184" s="8"/>
      <c r="J184" s="5"/>
      <c r="K184" s="5"/>
      <c r="L184" s="5"/>
      <c r="M184" s="8"/>
    </row>
    <row r="185" spans="5:13" ht="15.75" customHeight="1" x14ac:dyDescent="0.3">
      <c r="E185" s="5"/>
      <c r="F185" s="5"/>
      <c r="G185" s="5"/>
      <c r="H185" s="8"/>
      <c r="J185" s="5"/>
      <c r="K185" s="5"/>
      <c r="L185" s="5"/>
      <c r="M185" s="8"/>
    </row>
    <row r="186" spans="5:13" ht="15.75" customHeight="1" x14ac:dyDescent="0.3">
      <c r="E186" s="5"/>
      <c r="F186" s="5"/>
      <c r="G186" s="5"/>
      <c r="H186" s="8"/>
      <c r="J186" s="5"/>
      <c r="K186" s="5"/>
      <c r="L186" s="5"/>
      <c r="M186" s="8"/>
    </row>
    <row r="187" spans="5:13" ht="15.75" customHeight="1" x14ac:dyDescent="0.3">
      <c r="E187" s="5"/>
      <c r="F187" s="5"/>
      <c r="G187" s="5"/>
      <c r="H187" s="8"/>
      <c r="J187" s="5"/>
      <c r="K187" s="5"/>
      <c r="L187" s="5"/>
      <c r="M187" s="8"/>
    </row>
    <row r="188" spans="5:13" ht="15.75" customHeight="1" x14ac:dyDescent="0.3">
      <c r="E188" s="5"/>
      <c r="F188" s="5"/>
      <c r="G188" s="5"/>
      <c r="H188" s="8"/>
      <c r="J188" s="5"/>
      <c r="K188" s="5"/>
      <c r="L188" s="5"/>
      <c r="M188" s="8"/>
    </row>
    <row r="189" spans="5:13" ht="15.75" customHeight="1" x14ac:dyDescent="0.3">
      <c r="E189" s="5"/>
      <c r="F189" s="5"/>
      <c r="G189" s="5"/>
      <c r="H189" s="8"/>
      <c r="J189" s="5"/>
      <c r="K189" s="5"/>
      <c r="L189" s="5"/>
      <c r="M189" s="8"/>
    </row>
    <row r="190" spans="5:13" ht="15.75" customHeight="1" x14ac:dyDescent="0.3">
      <c r="E190" s="5"/>
      <c r="F190" s="5"/>
      <c r="G190" s="5"/>
      <c r="H190" s="8"/>
      <c r="J190" s="5"/>
      <c r="K190" s="5"/>
      <c r="L190" s="5"/>
      <c r="M190" s="8"/>
    </row>
    <row r="191" spans="5:13" ht="15.75" customHeight="1" x14ac:dyDescent="0.3">
      <c r="E191" s="5"/>
      <c r="F191" s="5"/>
      <c r="G191" s="5"/>
      <c r="H191" s="8"/>
      <c r="J191" s="5"/>
      <c r="K191" s="5"/>
      <c r="L191" s="5"/>
      <c r="M191" s="8"/>
    </row>
    <row r="192" spans="5:13" ht="15.75" customHeight="1" x14ac:dyDescent="0.3">
      <c r="E192" s="5"/>
      <c r="F192" s="5"/>
      <c r="G192" s="5"/>
      <c r="H192" s="8"/>
      <c r="J192" s="5"/>
      <c r="K192" s="5"/>
      <c r="L192" s="5"/>
      <c r="M192" s="8"/>
    </row>
    <row r="193" spans="5:13" ht="15.75" customHeight="1" x14ac:dyDescent="0.3">
      <c r="E193" s="5"/>
      <c r="F193" s="5"/>
      <c r="G193" s="5"/>
      <c r="H193" s="8"/>
      <c r="J193" s="5"/>
      <c r="K193" s="5"/>
      <c r="L193" s="5"/>
      <c r="M193" s="8"/>
    </row>
    <row r="194" spans="5:13" ht="15.75" customHeight="1" x14ac:dyDescent="0.3">
      <c r="E194" s="5"/>
      <c r="F194" s="5"/>
      <c r="G194" s="5"/>
      <c r="H194" s="8"/>
      <c r="J194" s="5"/>
      <c r="K194" s="5"/>
      <c r="L194" s="5"/>
      <c r="M194" s="8"/>
    </row>
    <row r="195" spans="5:13" ht="15.75" customHeight="1" x14ac:dyDescent="0.3">
      <c r="E195" s="5"/>
      <c r="F195" s="5"/>
      <c r="G195" s="5"/>
      <c r="H195" s="8"/>
      <c r="J195" s="5"/>
      <c r="K195" s="5"/>
      <c r="L195" s="5"/>
      <c r="M195" s="8"/>
    </row>
    <row r="196" spans="5:13" ht="15.75" customHeight="1" x14ac:dyDescent="0.3">
      <c r="E196" s="5"/>
      <c r="F196" s="5"/>
      <c r="G196" s="5"/>
      <c r="H196" s="8"/>
      <c r="J196" s="5"/>
      <c r="K196" s="5"/>
      <c r="L196" s="5"/>
      <c r="M196" s="8"/>
    </row>
    <row r="197" spans="5:13" ht="15.75" customHeight="1" x14ac:dyDescent="0.3">
      <c r="E197" s="5"/>
      <c r="F197" s="5"/>
      <c r="G197" s="5"/>
      <c r="H197" s="8"/>
      <c r="J197" s="5"/>
      <c r="K197" s="5"/>
      <c r="L197" s="5"/>
      <c r="M197" s="8"/>
    </row>
    <row r="198" spans="5:13" ht="15.75" customHeight="1" x14ac:dyDescent="0.3">
      <c r="E198" s="5"/>
      <c r="F198" s="5"/>
      <c r="G198" s="5"/>
      <c r="H198" s="8"/>
      <c r="J198" s="5"/>
      <c r="K198" s="5"/>
      <c r="L198" s="5"/>
      <c r="M198" s="8"/>
    </row>
    <row r="199" spans="5:13" ht="15.75" customHeight="1" x14ac:dyDescent="0.3">
      <c r="E199" s="5"/>
      <c r="F199" s="5"/>
      <c r="G199" s="5"/>
      <c r="H199" s="8"/>
      <c r="J199" s="5"/>
      <c r="K199" s="5"/>
      <c r="L199" s="5"/>
      <c r="M199" s="8"/>
    </row>
    <row r="200" spans="5:13" ht="15.75" customHeight="1" x14ac:dyDescent="0.3">
      <c r="E200" s="5"/>
      <c r="F200" s="5"/>
      <c r="G200" s="5"/>
      <c r="H200" s="8"/>
      <c r="J200" s="5"/>
      <c r="K200" s="5"/>
      <c r="L200" s="5"/>
      <c r="M200" s="8"/>
    </row>
    <row r="201" spans="5:13" ht="15.75" customHeight="1" x14ac:dyDescent="0.3">
      <c r="E201" s="5"/>
      <c r="F201" s="5"/>
      <c r="G201" s="5"/>
      <c r="H201" s="8"/>
      <c r="J201" s="5"/>
      <c r="K201" s="5"/>
      <c r="L201" s="5"/>
      <c r="M201" s="8"/>
    </row>
    <row r="202" spans="5:13" ht="15.75" customHeight="1" x14ac:dyDescent="0.3">
      <c r="E202" s="5"/>
      <c r="F202" s="5"/>
      <c r="G202" s="5"/>
      <c r="H202" s="8"/>
      <c r="J202" s="5"/>
      <c r="K202" s="5"/>
      <c r="L202" s="5"/>
      <c r="M202" s="8"/>
    </row>
    <row r="203" spans="5:13" ht="15.75" customHeight="1" x14ac:dyDescent="0.3">
      <c r="E203" s="5"/>
      <c r="F203" s="5"/>
      <c r="G203" s="5"/>
      <c r="H203" s="8"/>
      <c r="J203" s="5"/>
      <c r="K203" s="5"/>
      <c r="L203" s="5"/>
      <c r="M203" s="8"/>
    </row>
    <row r="204" spans="5:13" ht="15.75" customHeight="1" x14ac:dyDescent="0.3">
      <c r="E204" s="5"/>
      <c r="F204" s="5"/>
      <c r="G204" s="5"/>
      <c r="H204" s="8"/>
      <c r="J204" s="5"/>
      <c r="K204" s="5"/>
      <c r="L204" s="5"/>
      <c r="M204" s="8"/>
    </row>
    <row r="205" spans="5:13" ht="15.75" customHeight="1" x14ac:dyDescent="0.3">
      <c r="E205" s="5"/>
      <c r="F205" s="5"/>
      <c r="G205" s="5"/>
      <c r="H205" s="8"/>
      <c r="J205" s="5"/>
      <c r="K205" s="5"/>
      <c r="L205" s="5"/>
      <c r="M205" s="8"/>
    </row>
    <row r="206" spans="5:13" ht="15.75" customHeight="1" x14ac:dyDescent="0.3">
      <c r="E206" s="5"/>
      <c r="F206" s="5"/>
      <c r="G206" s="5"/>
      <c r="H206" s="8"/>
      <c r="J206" s="5"/>
      <c r="K206" s="5"/>
      <c r="L206" s="5"/>
      <c r="M206" s="8"/>
    </row>
    <row r="207" spans="5:13" ht="15.75" customHeight="1" x14ac:dyDescent="0.3">
      <c r="E207" s="5"/>
      <c r="F207" s="5"/>
      <c r="G207" s="5"/>
      <c r="H207" s="8"/>
      <c r="J207" s="5"/>
      <c r="K207" s="5"/>
      <c r="L207" s="5"/>
      <c r="M207" s="8"/>
    </row>
    <row r="208" spans="5:13" ht="15.75" customHeight="1" x14ac:dyDescent="0.3">
      <c r="E208" s="5"/>
      <c r="F208" s="5"/>
      <c r="G208" s="5"/>
      <c r="H208" s="8"/>
      <c r="J208" s="5"/>
      <c r="K208" s="5"/>
      <c r="L208" s="5"/>
      <c r="M208" s="8"/>
    </row>
    <row r="209" spans="5:13" ht="15.75" customHeight="1" x14ac:dyDescent="0.3">
      <c r="E209" s="5"/>
      <c r="F209" s="5"/>
      <c r="G209" s="5"/>
      <c r="H209" s="8"/>
      <c r="J209" s="5"/>
      <c r="K209" s="5"/>
      <c r="L209" s="5"/>
      <c r="M209" s="8"/>
    </row>
    <row r="210" spans="5:13" ht="15.75" customHeight="1" x14ac:dyDescent="0.3">
      <c r="E210" s="5"/>
      <c r="F210" s="5"/>
      <c r="G210" s="5"/>
      <c r="H210" s="8"/>
      <c r="J210" s="5"/>
      <c r="K210" s="5"/>
      <c r="L210" s="5"/>
      <c r="M210" s="8"/>
    </row>
    <row r="211" spans="5:13" ht="15.75" customHeight="1" x14ac:dyDescent="0.3">
      <c r="E211" s="5"/>
      <c r="F211" s="5"/>
      <c r="G211" s="5"/>
      <c r="H211" s="8"/>
      <c r="J211" s="5"/>
      <c r="K211" s="5"/>
      <c r="L211" s="5"/>
      <c r="M211" s="8"/>
    </row>
    <row r="212" spans="5:13" ht="15.75" customHeight="1" x14ac:dyDescent="0.3">
      <c r="E212" s="5"/>
      <c r="F212" s="5"/>
      <c r="G212" s="5"/>
      <c r="H212" s="8"/>
      <c r="J212" s="5"/>
      <c r="K212" s="5"/>
      <c r="L212" s="5"/>
      <c r="M212" s="8"/>
    </row>
    <row r="213" spans="5:13" ht="15.75" customHeight="1" x14ac:dyDescent="0.3">
      <c r="E213" s="5"/>
      <c r="F213" s="5"/>
      <c r="G213" s="5"/>
      <c r="H213" s="8"/>
      <c r="J213" s="5"/>
      <c r="K213" s="5"/>
      <c r="L213" s="5"/>
      <c r="M213" s="8"/>
    </row>
    <row r="214" spans="5:13" ht="15.75" customHeight="1" x14ac:dyDescent="0.3">
      <c r="E214" s="5"/>
      <c r="F214" s="5"/>
      <c r="G214" s="5"/>
      <c r="H214" s="8"/>
      <c r="J214" s="5"/>
      <c r="K214" s="5"/>
      <c r="L214" s="5"/>
      <c r="M214" s="8"/>
    </row>
    <row r="215" spans="5:13" ht="15.75" customHeight="1" x14ac:dyDescent="0.3">
      <c r="E215" s="5"/>
      <c r="F215" s="5"/>
      <c r="G215" s="5"/>
      <c r="H215" s="8"/>
      <c r="J215" s="5"/>
      <c r="K215" s="5"/>
      <c r="L215" s="5"/>
      <c r="M215" s="8"/>
    </row>
    <row r="216" spans="5:13" ht="15.75" customHeight="1" x14ac:dyDescent="0.3">
      <c r="E216" s="5"/>
      <c r="F216" s="5"/>
      <c r="G216" s="5"/>
      <c r="H216" s="8"/>
      <c r="J216" s="5"/>
      <c r="K216" s="5"/>
      <c r="L216" s="5"/>
      <c r="M216" s="8"/>
    </row>
    <row r="217" spans="5:13" ht="15.75" customHeight="1" x14ac:dyDescent="0.3">
      <c r="E217" s="5"/>
      <c r="F217" s="5"/>
      <c r="G217" s="5"/>
      <c r="H217" s="8"/>
      <c r="J217" s="5"/>
      <c r="K217" s="5"/>
      <c r="L217" s="5"/>
      <c r="M217" s="8"/>
    </row>
    <row r="218" spans="5:13" ht="15.75" customHeight="1" x14ac:dyDescent="0.3">
      <c r="E218" s="5"/>
      <c r="F218" s="5"/>
      <c r="G218" s="5"/>
      <c r="H218" s="8"/>
      <c r="J218" s="5"/>
      <c r="K218" s="5"/>
      <c r="L218" s="5"/>
      <c r="M218" s="8"/>
    </row>
    <row r="219" spans="5:13" ht="15.75" customHeight="1" x14ac:dyDescent="0.3">
      <c r="E219" s="5"/>
      <c r="F219" s="5"/>
      <c r="G219" s="5"/>
      <c r="H219" s="8"/>
      <c r="J219" s="5"/>
      <c r="K219" s="5"/>
      <c r="L219" s="5"/>
      <c r="M219" s="8"/>
    </row>
    <row r="220" spans="5:13" ht="15.75" customHeight="1" x14ac:dyDescent="0.3">
      <c r="E220" s="5"/>
      <c r="F220" s="5"/>
      <c r="G220" s="5"/>
      <c r="H220" s="8"/>
      <c r="J220" s="5"/>
      <c r="K220" s="5"/>
      <c r="L220" s="5"/>
      <c r="M220" s="8"/>
    </row>
    <row r="221" spans="5:13" ht="15.75" customHeight="1" x14ac:dyDescent="0.3">
      <c r="E221" s="5"/>
      <c r="F221" s="5"/>
      <c r="G221" s="5"/>
      <c r="H221" s="8"/>
      <c r="J221" s="5"/>
      <c r="K221" s="5"/>
      <c r="L221" s="5"/>
      <c r="M221" s="8"/>
    </row>
    <row r="222" spans="5:13" ht="15.75" customHeight="1" x14ac:dyDescent="0.3">
      <c r="E222" s="5"/>
      <c r="F222" s="5"/>
      <c r="G222" s="5"/>
      <c r="H222" s="8"/>
      <c r="J222" s="5"/>
      <c r="K222" s="5"/>
      <c r="L222" s="5"/>
      <c r="M222" s="8"/>
    </row>
    <row r="223" spans="5:13" ht="15.75" customHeight="1" x14ac:dyDescent="0.3">
      <c r="E223" s="5"/>
      <c r="F223" s="5"/>
      <c r="G223" s="5"/>
      <c r="H223" s="8"/>
      <c r="J223" s="5"/>
      <c r="K223" s="5"/>
      <c r="L223" s="5"/>
      <c r="M223" s="8"/>
    </row>
    <row r="224" spans="5:13" ht="15.75" customHeight="1" x14ac:dyDescent="0.3">
      <c r="E224" s="5"/>
      <c r="F224" s="5"/>
      <c r="G224" s="5"/>
      <c r="H224" s="8"/>
      <c r="J224" s="5"/>
      <c r="K224" s="5"/>
      <c r="L224" s="5"/>
      <c r="M224" s="8"/>
    </row>
    <row r="225" spans="5:13" ht="15.75" customHeight="1" x14ac:dyDescent="0.3">
      <c r="E225" s="5"/>
      <c r="F225" s="5"/>
      <c r="G225" s="5"/>
      <c r="H225" s="8"/>
      <c r="J225" s="5"/>
      <c r="K225" s="5"/>
      <c r="L225" s="5"/>
      <c r="M225" s="8"/>
    </row>
    <row r="226" spans="5:13" ht="15.75" customHeight="1" x14ac:dyDescent="0.3">
      <c r="E226" s="5"/>
      <c r="F226" s="5"/>
      <c r="G226" s="5"/>
      <c r="H226" s="8"/>
      <c r="J226" s="5"/>
      <c r="K226" s="5"/>
      <c r="L226" s="5"/>
      <c r="M226" s="8"/>
    </row>
    <row r="227" spans="5:13" ht="15.75" customHeight="1" x14ac:dyDescent="0.3">
      <c r="E227" s="5"/>
      <c r="F227" s="5"/>
      <c r="G227" s="5"/>
      <c r="H227" s="8"/>
      <c r="J227" s="5"/>
      <c r="K227" s="5"/>
      <c r="L227" s="5"/>
      <c r="M227" s="8"/>
    </row>
    <row r="228" spans="5:13" ht="15.75" customHeight="1" x14ac:dyDescent="0.3">
      <c r="E228" s="5"/>
      <c r="F228" s="5"/>
      <c r="G228" s="5"/>
      <c r="H228" s="8"/>
      <c r="J228" s="5"/>
      <c r="K228" s="5"/>
      <c r="L228" s="5"/>
      <c r="M228" s="8"/>
    </row>
    <row r="229" spans="5:13" ht="15.75" customHeight="1" x14ac:dyDescent="0.3">
      <c r="E229" s="5"/>
      <c r="F229" s="5"/>
      <c r="G229" s="5"/>
      <c r="H229" s="8"/>
      <c r="J229" s="5"/>
      <c r="K229" s="5"/>
      <c r="L229" s="5"/>
      <c r="M229" s="8"/>
    </row>
    <row r="230" spans="5:13" ht="15.75" customHeight="1" x14ac:dyDescent="0.3">
      <c r="E230" s="5"/>
      <c r="F230" s="5"/>
      <c r="G230" s="5"/>
      <c r="H230" s="8"/>
      <c r="J230" s="5"/>
      <c r="K230" s="5"/>
      <c r="L230" s="5"/>
      <c r="M230" s="8"/>
    </row>
    <row r="231" spans="5:13" ht="15.75" customHeight="1" x14ac:dyDescent="0.3">
      <c r="E231" s="5"/>
      <c r="F231" s="5"/>
      <c r="G231" s="5"/>
      <c r="H231" s="8"/>
      <c r="J231" s="5"/>
      <c r="K231" s="5"/>
      <c r="L231" s="5"/>
      <c r="M231" s="8"/>
    </row>
    <row r="232" spans="5:13" ht="15.75" customHeight="1" x14ac:dyDescent="0.3">
      <c r="E232" s="5"/>
      <c r="F232" s="5"/>
      <c r="G232" s="5"/>
      <c r="H232" s="8"/>
      <c r="J232" s="5"/>
      <c r="K232" s="5"/>
      <c r="L232" s="5"/>
      <c r="M232" s="8"/>
    </row>
    <row r="233" spans="5:13" ht="15.75" customHeight="1" x14ac:dyDescent="0.3">
      <c r="E233" s="5"/>
      <c r="F233" s="5"/>
      <c r="G233" s="5"/>
      <c r="H233" s="8"/>
      <c r="J233" s="5"/>
      <c r="K233" s="5"/>
      <c r="L233" s="5"/>
      <c r="M233" s="8"/>
    </row>
    <row r="234" spans="5:13" ht="15.75" customHeight="1" x14ac:dyDescent="0.3">
      <c r="E234" s="5"/>
      <c r="F234" s="5"/>
      <c r="G234" s="5"/>
      <c r="H234" s="8"/>
      <c r="J234" s="5"/>
      <c r="K234" s="5"/>
      <c r="L234" s="5"/>
      <c r="M234" s="8"/>
    </row>
    <row r="235" spans="5:13" ht="15.75" customHeight="1" x14ac:dyDescent="0.3">
      <c r="E235" s="5"/>
      <c r="F235" s="5"/>
      <c r="G235" s="5"/>
      <c r="H235" s="8"/>
      <c r="J235" s="5"/>
      <c r="K235" s="5"/>
      <c r="L235" s="5"/>
      <c r="M235" s="8"/>
    </row>
    <row r="236" spans="5:13" ht="15.75" customHeight="1" x14ac:dyDescent="0.3">
      <c r="E236" s="5"/>
      <c r="F236" s="5"/>
      <c r="G236" s="5"/>
      <c r="H236" s="8"/>
      <c r="J236" s="5"/>
      <c r="K236" s="5"/>
      <c r="L236" s="5"/>
      <c r="M236" s="8"/>
    </row>
    <row r="237" spans="5:13" ht="15.75" customHeight="1" x14ac:dyDescent="0.3">
      <c r="E237" s="5"/>
      <c r="F237" s="5"/>
      <c r="G237" s="5"/>
      <c r="H237" s="8"/>
      <c r="J237" s="5"/>
      <c r="K237" s="5"/>
      <c r="L237" s="5"/>
      <c r="M237" s="8"/>
    </row>
    <row r="238" spans="5:13" ht="15.75" customHeight="1" x14ac:dyDescent="0.3">
      <c r="E238" s="5"/>
      <c r="F238" s="5"/>
      <c r="G238" s="5"/>
      <c r="H238" s="8"/>
      <c r="J238" s="5"/>
      <c r="K238" s="5"/>
      <c r="L238" s="5"/>
      <c r="M238" s="8"/>
    </row>
    <row r="239" spans="5:13" ht="15.75" customHeight="1" x14ac:dyDescent="0.3">
      <c r="E239" s="5"/>
      <c r="F239" s="5"/>
      <c r="G239" s="5"/>
      <c r="H239" s="8"/>
      <c r="J239" s="5"/>
      <c r="K239" s="5"/>
      <c r="L239" s="5"/>
      <c r="M239" s="8"/>
    </row>
    <row r="240" spans="5:13" ht="15.75" customHeight="1" x14ac:dyDescent="0.3">
      <c r="E240" s="5"/>
      <c r="F240" s="5"/>
      <c r="G240" s="5"/>
      <c r="H240" s="8"/>
      <c r="J240" s="5"/>
      <c r="K240" s="5"/>
      <c r="L240" s="5"/>
      <c r="M240" s="8"/>
    </row>
    <row r="241" spans="5:13" ht="15.75" customHeight="1" x14ac:dyDescent="0.3">
      <c r="E241" s="5"/>
      <c r="F241" s="5"/>
      <c r="G241" s="5"/>
      <c r="H241" s="8"/>
      <c r="J241" s="5"/>
      <c r="K241" s="5"/>
      <c r="L241" s="5"/>
      <c r="M241" s="8"/>
    </row>
    <row r="242" spans="5:13" ht="15.75" customHeight="1" x14ac:dyDescent="0.3">
      <c r="E242" s="5"/>
      <c r="F242" s="5"/>
      <c r="G242" s="5"/>
      <c r="H242" s="8"/>
      <c r="J242" s="5"/>
      <c r="K242" s="5"/>
      <c r="L242" s="5"/>
      <c r="M242" s="8"/>
    </row>
    <row r="243" spans="5:13" ht="15.75" customHeight="1" x14ac:dyDescent="0.3">
      <c r="E243" s="5"/>
      <c r="F243" s="5"/>
      <c r="G243" s="5"/>
      <c r="H243" s="8"/>
      <c r="J243" s="5"/>
      <c r="K243" s="5"/>
      <c r="L243" s="5"/>
      <c r="M243" s="8"/>
    </row>
    <row r="244" spans="5:13" ht="15.75" customHeight="1" x14ac:dyDescent="0.3">
      <c r="E244" s="5"/>
      <c r="F244" s="5"/>
      <c r="G244" s="5"/>
      <c r="H244" s="8"/>
      <c r="J244" s="5"/>
      <c r="K244" s="5"/>
      <c r="L244" s="5"/>
      <c r="M244" s="8"/>
    </row>
    <row r="245" spans="5:13" ht="15.75" customHeight="1" x14ac:dyDescent="0.3">
      <c r="E245" s="5"/>
      <c r="F245" s="5"/>
      <c r="G245" s="5"/>
      <c r="H245" s="8"/>
      <c r="J245" s="5"/>
      <c r="K245" s="5"/>
      <c r="L245" s="5"/>
      <c r="M245" s="8"/>
    </row>
    <row r="246" spans="5:13" ht="15.75" customHeight="1" x14ac:dyDescent="0.3">
      <c r="E246" s="5"/>
      <c r="F246" s="5"/>
      <c r="G246" s="5"/>
      <c r="H246" s="8"/>
      <c r="J246" s="5"/>
      <c r="K246" s="5"/>
      <c r="L246" s="5"/>
      <c r="M246" s="8"/>
    </row>
    <row r="247" spans="5:13" ht="15.75" customHeight="1" x14ac:dyDescent="0.3">
      <c r="E247" s="5"/>
      <c r="F247" s="5"/>
      <c r="G247" s="5"/>
      <c r="H247" s="8"/>
      <c r="J247" s="5"/>
      <c r="K247" s="5"/>
      <c r="L247" s="5"/>
      <c r="M247" s="8"/>
    </row>
    <row r="248" spans="5:13" ht="15.75" customHeight="1" x14ac:dyDescent="0.3">
      <c r="E248" s="5"/>
      <c r="F248" s="5"/>
      <c r="G248" s="5"/>
      <c r="H248" s="8"/>
      <c r="J248" s="5"/>
      <c r="K248" s="5"/>
      <c r="L248" s="5"/>
      <c r="M248" s="8"/>
    </row>
    <row r="249" spans="5:13" ht="15.75" customHeight="1" x14ac:dyDescent="0.3">
      <c r="E249" s="5"/>
      <c r="F249" s="5"/>
      <c r="G249" s="5"/>
      <c r="H249" s="8"/>
      <c r="J249" s="5"/>
      <c r="K249" s="5"/>
      <c r="L249" s="5"/>
      <c r="M249" s="8"/>
    </row>
    <row r="250" spans="5:13" ht="15.75" customHeight="1" x14ac:dyDescent="0.3">
      <c r="E250" s="5"/>
      <c r="F250" s="5"/>
      <c r="G250" s="5"/>
      <c r="H250" s="8"/>
      <c r="J250" s="5"/>
      <c r="K250" s="5"/>
      <c r="L250" s="5"/>
      <c r="M250" s="8"/>
    </row>
    <row r="251" spans="5:13" ht="15.75" customHeight="1" x14ac:dyDescent="0.3">
      <c r="E251" s="5"/>
      <c r="F251" s="5"/>
      <c r="G251" s="5"/>
      <c r="H251" s="8"/>
      <c r="J251" s="5"/>
      <c r="K251" s="5"/>
      <c r="L251" s="5"/>
      <c r="M251" s="8"/>
    </row>
    <row r="252" spans="5:13" ht="15.75" customHeight="1" x14ac:dyDescent="0.3">
      <c r="E252" s="5"/>
      <c r="F252" s="5"/>
      <c r="G252" s="5"/>
      <c r="H252" s="8"/>
      <c r="J252" s="5"/>
      <c r="K252" s="5"/>
      <c r="L252" s="5"/>
      <c r="M252" s="8"/>
    </row>
    <row r="253" spans="5:13" ht="15.75" customHeight="1" x14ac:dyDescent="0.3">
      <c r="E253" s="5"/>
      <c r="F253" s="5"/>
      <c r="G253" s="5"/>
      <c r="H253" s="8"/>
      <c r="J253" s="5"/>
      <c r="K253" s="5"/>
      <c r="L253" s="5"/>
      <c r="M253" s="8"/>
    </row>
    <row r="254" spans="5:13" ht="15.75" customHeight="1" x14ac:dyDescent="0.3">
      <c r="E254" s="5"/>
      <c r="F254" s="5"/>
      <c r="G254" s="5"/>
      <c r="H254" s="8"/>
      <c r="J254" s="5"/>
      <c r="K254" s="5"/>
      <c r="L254" s="5"/>
      <c r="M254" s="8"/>
    </row>
    <row r="255" spans="5:13" ht="15.75" customHeight="1" x14ac:dyDescent="0.3">
      <c r="E255" s="5"/>
      <c r="F255" s="5"/>
      <c r="G255" s="5"/>
      <c r="H255" s="8"/>
      <c r="J255" s="5"/>
      <c r="K255" s="5"/>
      <c r="L255" s="5"/>
      <c r="M255" s="8"/>
    </row>
    <row r="256" spans="5:13" ht="15.75" customHeight="1" x14ac:dyDescent="0.3">
      <c r="E256" s="5"/>
      <c r="F256" s="5"/>
      <c r="G256" s="5"/>
      <c r="H256" s="8"/>
      <c r="J256" s="5"/>
      <c r="K256" s="5"/>
      <c r="L256" s="5"/>
      <c r="M256" s="8"/>
    </row>
    <row r="257" spans="5:13" ht="15.75" customHeight="1" x14ac:dyDescent="0.3">
      <c r="E257" s="5"/>
      <c r="F257" s="5"/>
      <c r="G257" s="5"/>
      <c r="H257" s="8"/>
      <c r="J257" s="5"/>
      <c r="K257" s="5"/>
      <c r="L257" s="5"/>
      <c r="M257" s="8"/>
    </row>
    <row r="258" spans="5:13" ht="15.75" customHeight="1" x14ac:dyDescent="0.3">
      <c r="E258" s="5"/>
      <c r="F258" s="5"/>
      <c r="G258" s="5"/>
      <c r="H258" s="8"/>
      <c r="J258" s="5"/>
      <c r="K258" s="5"/>
      <c r="L258" s="5"/>
      <c r="M258" s="8"/>
    </row>
    <row r="259" spans="5:13" ht="15.75" customHeight="1" x14ac:dyDescent="0.3">
      <c r="E259" s="5"/>
      <c r="F259" s="5"/>
      <c r="G259" s="5"/>
      <c r="H259" s="8"/>
      <c r="J259" s="5"/>
      <c r="K259" s="5"/>
      <c r="L259" s="5"/>
      <c r="M259" s="8"/>
    </row>
    <row r="260" spans="5:13" ht="15.75" customHeight="1" x14ac:dyDescent="0.3">
      <c r="E260" s="5"/>
      <c r="F260" s="5"/>
      <c r="G260" s="5"/>
      <c r="H260" s="8"/>
      <c r="J260" s="5"/>
      <c r="K260" s="5"/>
      <c r="L260" s="5"/>
      <c r="M260" s="8"/>
    </row>
    <row r="261" spans="5:13" ht="15.75" customHeight="1" x14ac:dyDescent="0.3">
      <c r="E261" s="5"/>
      <c r="F261" s="5"/>
      <c r="G261" s="5"/>
      <c r="H261" s="8"/>
      <c r="J261" s="5"/>
      <c r="K261" s="5"/>
      <c r="L261" s="5"/>
      <c r="M261" s="8"/>
    </row>
    <row r="262" spans="5:13" ht="15.75" customHeight="1" x14ac:dyDescent="0.3">
      <c r="E262" s="5"/>
      <c r="F262" s="5"/>
      <c r="G262" s="5"/>
      <c r="H262" s="8"/>
      <c r="J262" s="5"/>
      <c r="K262" s="5"/>
      <c r="L262" s="5"/>
      <c r="M262" s="8"/>
    </row>
    <row r="263" spans="5:13" ht="15.75" customHeight="1" x14ac:dyDescent="0.3">
      <c r="E263" s="5"/>
      <c r="F263" s="5"/>
      <c r="G263" s="5"/>
      <c r="H263" s="8"/>
      <c r="J263" s="5"/>
      <c r="K263" s="5"/>
      <c r="L263" s="5"/>
      <c r="M263" s="8"/>
    </row>
    <row r="264" spans="5:13" ht="15.75" customHeight="1" x14ac:dyDescent="0.3">
      <c r="E264" s="5"/>
      <c r="F264" s="5"/>
      <c r="G264" s="5"/>
      <c r="H264" s="8"/>
      <c r="J264" s="5"/>
      <c r="K264" s="5"/>
      <c r="L264" s="5"/>
      <c r="M264" s="8"/>
    </row>
    <row r="265" spans="5:13" ht="15.75" customHeight="1" x14ac:dyDescent="0.3">
      <c r="E265" s="5"/>
      <c r="F265" s="5"/>
      <c r="G265" s="5"/>
      <c r="H265" s="8"/>
      <c r="J265" s="5"/>
      <c r="K265" s="5"/>
      <c r="L265" s="5"/>
      <c r="M265" s="8"/>
    </row>
    <row r="266" spans="5:13" ht="15.75" customHeight="1" x14ac:dyDescent="0.3">
      <c r="E266" s="5"/>
      <c r="F266" s="5"/>
      <c r="G266" s="5"/>
      <c r="H266" s="8"/>
      <c r="J266" s="5"/>
      <c r="K266" s="5"/>
      <c r="L266" s="5"/>
      <c r="M266" s="8"/>
    </row>
    <row r="267" spans="5:13" ht="15.75" customHeight="1" x14ac:dyDescent="0.3">
      <c r="E267" s="5"/>
      <c r="F267" s="5"/>
      <c r="G267" s="5"/>
      <c r="H267" s="8"/>
      <c r="J267" s="5"/>
      <c r="K267" s="5"/>
      <c r="L267" s="5"/>
      <c r="M267" s="8"/>
    </row>
    <row r="268" spans="5:13" ht="15.75" customHeight="1" x14ac:dyDescent="0.3">
      <c r="E268" s="5"/>
      <c r="F268" s="5"/>
      <c r="G268" s="5"/>
      <c r="H268" s="8"/>
      <c r="J268" s="5"/>
      <c r="K268" s="5"/>
      <c r="L268" s="5"/>
      <c r="M268" s="8"/>
    </row>
    <row r="269" spans="5:13" ht="15.75" customHeight="1" x14ac:dyDescent="0.3">
      <c r="E269" s="5"/>
      <c r="F269" s="5"/>
      <c r="G269" s="5"/>
      <c r="H269" s="8"/>
      <c r="J269" s="5"/>
      <c r="K269" s="5"/>
      <c r="L269" s="5"/>
      <c r="M269" s="8"/>
    </row>
    <row r="270" spans="5:13" ht="15.75" customHeight="1" x14ac:dyDescent="0.3">
      <c r="E270" s="5"/>
      <c r="F270" s="5"/>
      <c r="G270" s="5"/>
      <c r="H270" s="8"/>
      <c r="J270" s="5"/>
      <c r="K270" s="5"/>
      <c r="L270" s="5"/>
      <c r="M270" s="8"/>
    </row>
    <row r="271" spans="5:13" ht="15.75" customHeight="1" x14ac:dyDescent="0.3">
      <c r="E271" s="5"/>
      <c r="F271" s="5"/>
      <c r="G271" s="5"/>
      <c r="H271" s="8"/>
      <c r="J271" s="5"/>
      <c r="K271" s="5"/>
      <c r="L271" s="5"/>
      <c r="M271" s="8"/>
    </row>
    <row r="272" spans="5:13" ht="15.75" customHeight="1" x14ac:dyDescent="0.3">
      <c r="E272" s="5"/>
      <c r="F272" s="5"/>
      <c r="G272" s="5"/>
      <c r="H272" s="8"/>
      <c r="J272" s="5"/>
      <c r="K272" s="5"/>
      <c r="L272" s="5"/>
      <c r="M272" s="8"/>
    </row>
    <row r="273" spans="5:13" ht="15.75" customHeight="1" x14ac:dyDescent="0.3">
      <c r="E273" s="5"/>
      <c r="F273" s="5"/>
      <c r="G273" s="5"/>
      <c r="H273" s="8"/>
      <c r="J273" s="5"/>
      <c r="K273" s="5"/>
      <c r="L273" s="5"/>
      <c r="M273" s="8"/>
    </row>
    <row r="274" spans="5:13" ht="15.75" customHeight="1" x14ac:dyDescent="0.3">
      <c r="E274" s="5"/>
      <c r="F274" s="5"/>
      <c r="G274" s="5"/>
      <c r="H274" s="8"/>
      <c r="J274" s="5"/>
      <c r="K274" s="5"/>
      <c r="L274" s="5"/>
      <c r="M274" s="8"/>
    </row>
    <row r="275" spans="5:13" ht="15.75" customHeight="1" x14ac:dyDescent="0.3">
      <c r="E275" s="5"/>
      <c r="F275" s="5"/>
      <c r="G275" s="5"/>
      <c r="H275" s="8"/>
      <c r="J275" s="5"/>
      <c r="K275" s="5"/>
      <c r="L275" s="5"/>
      <c r="M275" s="8"/>
    </row>
    <row r="276" spans="5:13" ht="15.75" customHeight="1" x14ac:dyDescent="0.3">
      <c r="E276" s="5"/>
      <c r="F276" s="5"/>
      <c r="G276" s="5"/>
      <c r="H276" s="8"/>
      <c r="J276" s="5"/>
      <c r="K276" s="5"/>
      <c r="L276" s="5"/>
      <c r="M276" s="8"/>
    </row>
    <row r="277" spans="5:13" ht="15.75" customHeight="1" x14ac:dyDescent="0.3">
      <c r="E277" s="5"/>
      <c r="F277" s="5"/>
      <c r="G277" s="5"/>
      <c r="H277" s="8"/>
      <c r="J277" s="5"/>
      <c r="K277" s="5"/>
      <c r="L277" s="5"/>
      <c r="M277" s="8"/>
    </row>
    <row r="278" spans="5:13" ht="15.75" customHeight="1" x14ac:dyDescent="0.3">
      <c r="E278" s="5"/>
      <c r="F278" s="5"/>
      <c r="G278" s="5"/>
      <c r="H278" s="8"/>
      <c r="J278" s="5"/>
      <c r="K278" s="5"/>
      <c r="L278" s="5"/>
      <c r="M278" s="8"/>
    </row>
    <row r="279" spans="5:13" ht="15.75" customHeight="1" x14ac:dyDescent="0.3">
      <c r="E279" s="5"/>
      <c r="F279" s="5"/>
      <c r="G279" s="5"/>
      <c r="H279" s="8"/>
      <c r="J279" s="5"/>
      <c r="K279" s="5"/>
      <c r="L279" s="5"/>
      <c r="M279" s="8"/>
    </row>
    <row r="280" spans="5:13" ht="15.75" customHeight="1" x14ac:dyDescent="0.3">
      <c r="E280" s="5"/>
      <c r="F280" s="5"/>
      <c r="G280" s="5"/>
      <c r="H280" s="8"/>
      <c r="J280" s="5"/>
      <c r="K280" s="5"/>
      <c r="L280" s="5"/>
      <c r="M280" s="8"/>
    </row>
    <row r="281" spans="5:13" ht="15.75" customHeight="1" x14ac:dyDescent="0.3">
      <c r="E281" s="5"/>
      <c r="F281" s="5"/>
      <c r="G281" s="5"/>
      <c r="H281" s="8"/>
      <c r="J281" s="5"/>
      <c r="K281" s="5"/>
      <c r="L281" s="5"/>
      <c r="M281" s="8"/>
    </row>
    <row r="282" spans="5:13" ht="15.75" customHeight="1" x14ac:dyDescent="0.3">
      <c r="E282" s="5"/>
      <c r="F282" s="5"/>
      <c r="G282" s="5"/>
      <c r="H282" s="8"/>
      <c r="J282" s="5"/>
      <c r="K282" s="5"/>
      <c r="L282" s="5"/>
      <c r="M282" s="8"/>
    </row>
    <row r="283" spans="5:13" ht="15.75" customHeight="1" x14ac:dyDescent="0.3">
      <c r="E283" s="5"/>
      <c r="F283" s="5"/>
      <c r="G283" s="5"/>
      <c r="H283" s="8"/>
      <c r="J283" s="5"/>
      <c r="K283" s="5"/>
      <c r="L283" s="5"/>
      <c r="M283" s="8"/>
    </row>
    <row r="284" spans="5:13" ht="15.75" customHeight="1" x14ac:dyDescent="0.3">
      <c r="E284" s="5"/>
      <c r="F284" s="5"/>
      <c r="G284" s="5"/>
      <c r="H284" s="8"/>
      <c r="J284" s="5"/>
      <c r="K284" s="5"/>
      <c r="L284" s="5"/>
      <c r="M284" s="8"/>
    </row>
    <row r="285" spans="5:13" ht="15.75" customHeight="1" x14ac:dyDescent="0.3">
      <c r="E285" s="5"/>
      <c r="F285" s="5"/>
      <c r="G285" s="5"/>
      <c r="H285" s="8"/>
      <c r="J285" s="5"/>
      <c r="K285" s="5"/>
      <c r="L285" s="5"/>
      <c r="M285" s="8"/>
    </row>
    <row r="286" spans="5:13" ht="15.75" customHeight="1" x14ac:dyDescent="0.3">
      <c r="E286" s="5"/>
      <c r="F286" s="5"/>
      <c r="G286" s="5"/>
      <c r="H286" s="8"/>
      <c r="J286" s="5"/>
      <c r="K286" s="5"/>
      <c r="L286" s="5"/>
      <c r="M286" s="8"/>
    </row>
    <row r="287" spans="5:13" ht="15.75" customHeight="1" x14ac:dyDescent="0.3">
      <c r="E287" s="5"/>
      <c r="F287" s="5"/>
      <c r="G287" s="5"/>
      <c r="H287" s="8"/>
      <c r="J287" s="5"/>
      <c r="K287" s="5"/>
      <c r="L287" s="5"/>
      <c r="M287" s="8"/>
    </row>
    <row r="288" spans="5:13" ht="15.75" customHeight="1" x14ac:dyDescent="0.3">
      <c r="E288" s="5"/>
      <c r="F288" s="5"/>
      <c r="G288" s="5"/>
      <c r="H288" s="8"/>
      <c r="J288" s="5"/>
      <c r="K288" s="5"/>
      <c r="L288" s="5"/>
      <c r="M288" s="8"/>
    </row>
    <row r="289" spans="5:13" ht="15.75" customHeight="1" x14ac:dyDescent="0.3">
      <c r="E289" s="5"/>
      <c r="F289" s="5"/>
      <c r="G289" s="5"/>
      <c r="H289" s="8"/>
      <c r="J289" s="5"/>
      <c r="K289" s="5"/>
      <c r="L289" s="5"/>
      <c r="M289" s="8"/>
    </row>
    <row r="290" spans="5:13" ht="15.75" customHeight="1" x14ac:dyDescent="0.3">
      <c r="E290" s="5"/>
      <c r="F290" s="5"/>
      <c r="G290" s="5"/>
      <c r="H290" s="8"/>
      <c r="J290" s="5"/>
      <c r="K290" s="5"/>
      <c r="L290" s="5"/>
      <c r="M290" s="8"/>
    </row>
    <row r="291" spans="5:13" ht="15.75" customHeight="1" x14ac:dyDescent="0.3">
      <c r="E291" s="5"/>
      <c r="F291" s="5"/>
      <c r="G291" s="5"/>
      <c r="H291" s="8"/>
      <c r="J291" s="5"/>
      <c r="K291" s="5"/>
      <c r="L291" s="5"/>
      <c r="M291" s="8"/>
    </row>
    <row r="292" spans="5:13" ht="15.75" customHeight="1" x14ac:dyDescent="0.3">
      <c r="E292" s="5"/>
      <c r="F292" s="5"/>
      <c r="G292" s="5"/>
      <c r="H292" s="8"/>
      <c r="J292" s="5"/>
      <c r="K292" s="5"/>
      <c r="L292" s="5"/>
      <c r="M292" s="8"/>
    </row>
    <row r="293" spans="5:13" ht="15.75" customHeight="1" x14ac:dyDescent="0.3">
      <c r="E293" s="5"/>
      <c r="F293" s="5"/>
      <c r="G293" s="5"/>
      <c r="H293" s="8"/>
      <c r="J293" s="5"/>
      <c r="K293" s="5"/>
      <c r="L293" s="5"/>
      <c r="M293" s="8"/>
    </row>
    <row r="294" spans="5:13" ht="15.75" customHeight="1" x14ac:dyDescent="0.3">
      <c r="E294" s="5"/>
      <c r="F294" s="5"/>
      <c r="G294" s="5"/>
      <c r="H294" s="8"/>
      <c r="J294" s="5"/>
      <c r="K294" s="5"/>
      <c r="L294" s="5"/>
      <c r="M294" s="8"/>
    </row>
    <row r="295" spans="5:13" ht="15.75" customHeight="1" x14ac:dyDescent="0.3">
      <c r="E295" s="5"/>
      <c r="F295" s="5"/>
      <c r="G295" s="5"/>
      <c r="H295" s="8"/>
      <c r="J295" s="5"/>
      <c r="K295" s="5"/>
      <c r="L295" s="5"/>
      <c r="M295" s="8"/>
    </row>
    <row r="296" spans="5:13" ht="15.75" customHeight="1" x14ac:dyDescent="0.3">
      <c r="E296" s="5"/>
      <c r="F296" s="5"/>
      <c r="G296" s="5"/>
      <c r="H296" s="8"/>
      <c r="J296" s="5"/>
      <c r="K296" s="5"/>
      <c r="L296" s="5"/>
      <c r="M296" s="8"/>
    </row>
    <row r="297" spans="5:13" ht="15.75" customHeight="1" x14ac:dyDescent="0.3">
      <c r="E297" s="5"/>
      <c r="F297" s="5"/>
      <c r="G297" s="5"/>
      <c r="H297" s="8"/>
      <c r="J297" s="5"/>
      <c r="K297" s="5"/>
      <c r="L297" s="5"/>
      <c r="M297" s="8"/>
    </row>
    <row r="298" spans="5:13" ht="15.75" customHeight="1" x14ac:dyDescent="0.3">
      <c r="E298" s="5"/>
      <c r="F298" s="5"/>
      <c r="G298" s="5"/>
      <c r="H298" s="8"/>
      <c r="J298" s="5"/>
      <c r="K298" s="5"/>
      <c r="L298" s="5"/>
      <c r="M298" s="8"/>
    </row>
    <row r="299" spans="5:13" ht="15.75" customHeight="1" x14ac:dyDescent="0.3">
      <c r="E299" s="5"/>
      <c r="F299" s="5"/>
      <c r="G299" s="5"/>
      <c r="H299" s="8"/>
      <c r="J299" s="5"/>
      <c r="K299" s="5"/>
      <c r="L299" s="5"/>
      <c r="M299" s="8"/>
    </row>
    <row r="300" spans="5:13" ht="15.75" customHeight="1" x14ac:dyDescent="0.3">
      <c r="E300" s="5"/>
      <c r="F300" s="5"/>
      <c r="G300" s="5"/>
      <c r="H300" s="8"/>
      <c r="J300" s="5"/>
      <c r="K300" s="5"/>
      <c r="L300" s="5"/>
      <c r="M300" s="8"/>
    </row>
    <row r="301" spans="5:13" ht="15.75" customHeight="1" x14ac:dyDescent="0.3"/>
    <row r="302" spans="5:13" ht="15.75" customHeight="1" x14ac:dyDescent="0.3"/>
    <row r="303" spans="5:13" ht="15.75" customHeight="1" x14ac:dyDescent="0.3"/>
    <row r="304" spans="5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P10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PERCY</cp:lastModifiedBy>
  <dcterms:modified xsi:type="dcterms:W3CDTF">2026-01-22T17:55:48Z</dcterms:modified>
</cp:coreProperties>
</file>